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defaultThemeVersion="202300"/>
  <mc:AlternateContent xmlns:mc="http://schemas.openxmlformats.org/markup-compatibility/2006">
    <mc:Choice Requires="x15">
      <x15ac:absPath xmlns:x15ac="http://schemas.microsoft.com/office/spreadsheetml/2010/11/ac" url="/Users/austinlehrmann/Downloads/"/>
    </mc:Choice>
  </mc:AlternateContent>
  <xr:revisionPtr revIDLastSave="0" documentId="13_ncr:1_{0E36F27C-710D-9C41-B3D3-49EB856E0970}" xr6:coauthVersionLast="47" xr6:coauthVersionMax="47" xr10:uidLastSave="{00000000-0000-0000-0000-000000000000}"/>
  <bookViews>
    <workbookView xWindow="0" yWindow="760" windowWidth="30240" windowHeight="17700" activeTab="1" xr2:uid="{1A4F071E-D4E5-4FC0-89DA-330D592CDA19}"/>
  </bookViews>
  <sheets>
    <sheet name="Judgmental Scorecard" sheetId="1" r:id="rId1"/>
    <sheet name="Scorecard to ElCap" sheetId="6" r:id="rId2"/>
    <sheet name="Calc Definitions" sheetId="5" r:id="rId3"/>
    <sheet name="Credit Scoring Scorecard" sheetId="2" r:id="rId4"/>
    <sheet name="PDs" sheetId="3" r:id="rId5"/>
    <sheet name="Scratch"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6" l="1"/>
  <c r="P54" i="5"/>
  <c r="I5" i="6"/>
  <c r="G5" i="6"/>
  <c r="F5" i="6"/>
  <c r="P17" i="5"/>
  <c r="E5" i="6"/>
  <c r="I6" i="6" l="1"/>
  <c r="L6" i="6" l="1"/>
  <c r="J6" i="6" a="1"/>
  <c r="J6" i="6" s="1"/>
  <c r="D6" i="6" l="1"/>
  <c r="E6" i="6"/>
  <c r="K6" i="6" a="1"/>
  <c r="K6" i="6" s="1"/>
  <c r="H6" i="6"/>
  <c r="G6" i="6"/>
  <c r="F6" i="6"/>
  <c r="AB3" i="6"/>
  <c r="X3" i="6"/>
  <c r="T3" i="6"/>
  <c r="P3" i="6"/>
  <c r="D7" i="6" l="1" a="1"/>
  <c r="D7" i="6" s="1"/>
  <c r="D133" i="6" a="1"/>
  <c r="D133" i="6" s="1"/>
  <c r="D131" i="6" a="1"/>
  <c r="D131" i="6" s="1"/>
  <c r="D127" i="6" a="1"/>
  <c r="D127" i="6" s="1"/>
  <c r="D129" i="6" a="1"/>
  <c r="D129" i="6" s="1"/>
  <c r="F2" i="1" l="1"/>
  <c r="L2" i="1"/>
  <c r="J2" i="1"/>
  <c r="H2" i="1"/>
  <c r="O4" i="1"/>
  <c r="W103" i="4"/>
  <c r="T103" i="4"/>
  <c r="Q103" i="4"/>
  <c r="N103" i="4"/>
  <c r="C102" i="4"/>
  <c r="AC100" i="4"/>
  <c r="Z100" i="4"/>
  <c r="Q100" i="4"/>
  <c r="L100" i="4"/>
  <c r="I100" i="4"/>
  <c r="F100" i="4"/>
  <c r="C100" i="4"/>
  <c r="AC106" i="4"/>
  <c r="AB106" i="4"/>
  <c r="AA106" i="4"/>
  <c r="Z106" i="4"/>
  <c r="M106" i="4"/>
  <c r="L106" i="4"/>
  <c r="K106" i="4"/>
  <c r="J106" i="4"/>
  <c r="I106" i="4"/>
  <c r="H106" i="4"/>
  <c r="G106" i="4"/>
  <c r="F106" i="4"/>
  <c r="E106" i="4"/>
  <c r="D106" i="4"/>
  <c r="C106" i="4"/>
  <c r="B106" i="4"/>
  <c r="AD96" i="4"/>
  <c r="AC96" i="4"/>
  <c r="Y96" i="4"/>
  <c r="P96" i="4"/>
  <c r="K96" i="4"/>
  <c r="H96" i="4"/>
  <c r="E96" i="4"/>
  <c r="AD95" i="4"/>
  <c r="AB96" i="4"/>
  <c r="C85" i="4"/>
  <c r="W84" i="4"/>
  <c r="T84" i="4"/>
  <c r="Q84" i="4"/>
  <c r="N84" i="4"/>
  <c r="Z81" i="4"/>
  <c r="Q81" i="4"/>
  <c r="L81" i="4"/>
  <c r="I81" i="4"/>
  <c r="F81" i="4"/>
  <c r="F76" i="4" s="1"/>
  <c r="G81" i="4" s="1"/>
  <c r="H81" i="4" s="1"/>
  <c r="I76" i="4" s="1"/>
  <c r="J81" i="4" s="1"/>
  <c r="K81" i="4" s="1"/>
  <c r="F75" i="4"/>
  <c r="E75" i="4" s="1"/>
  <c r="I75" i="4"/>
  <c r="H75" i="4" s="1"/>
  <c r="L75" i="4"/>
  <c r="K75" i="4" s="1"/>
  <c r="Q75" i="4"/>
  <c r="P75" i="4" s="1"/>
  <c r="Z75" i="4"/>
  <c r="Y75" i="4" s="1"/>
  <c r="C75" i="4"/>
  <c r="AC74" i="4"/>
  <c r="AB75" i="4" s="1"/>
  <c r="Z74" i="4"/>
  <c r="Q74" i="4"/>
  <c r="L74" i="4"/>
  <c r="I74" i="4"/>
  <c r="F74" i="4"/>
  <c r="C74" i="4"/>
  <c r="B74" i="4"/>
  <c r="AD74" i="4"/>
  <c r="AC85" i="4"/>
  <c r="AB85" i="4"/>
  <c r="AA85" i="4"/>
  <c r="Z85" i="4"/>
  <c r="M85" i="4"/>
  <c r="L85" i="4"/>
  <c r="K85" i="4"/>
  <c r="J85" i="4"/>
  <c r="I85" i="4"/>
  <c r="H85" i="4"/>
  <c r="G85" i="4"/>
  <c r="F85" i="4"/>
  <c r="E85" i="4"/>
  <c r="D85" i="4"/>
  <c r="B85" i="4"/>
  <c r="AD75" i="4"/>
  <c r="AC75" i="4"/>
  <c r="W60" i="4"/>
  <c r="T60" i="4"/>
  <c r="Q60" i="4"/>
  <c r="Z57" i="4"/>
  <c r="Z52" i="4" s="1"/>
  <c r="AA57" i="4" s="1"/>
  <c r="AB57" i="4" s="1"/>
  <c r="R52" i="4"/>
  <c r="N60" i="4"/>
  <c r="L57" i="4"/>
  <c r="L52" i="4" s="1"/>
  <c r="M57" i="4" s="1"/>
  <c r="I57" i="4"/>
  <c r="I52" i="4" s="1"/>
  <c r="J57" i="4" s="1"/>
  <c r="K57" i="4" s="1"/>
  <c r="F57" i="4"/>
  <c r="G57" i="4" s="1"/>
  <c r="H57" i="4" s="1"/>
  <c r="G61" i="4"/>
  <c r="H61" i="4"/>
  <c r="C61" i="4"/>
  <c r="C57" i="4"/>
  <c r="C52" i="4" s="1"/>
  <c r="D57" i="4" s="1"/>
  <c r="E57" i="4" s="1"/>
  <c r="B58" i="4"/>
  <c r="B61" i="4" s="1"/>
  <c r="AC61" i="4"/>
  <c r="AB61" i="4"/>
  <c r="AA61" i="4"/>
  <c r="Z61" i="4"/>
  <c r="M61" i="4"/>
  <c r="L61" i="4"/>
  <c r="K61" i="4"/>
  <c r="J61" i="4"/>
  <c r="I61" i="4"/>
  <c r="F61" i="4"/>
  <c r="E61" i="4"/>
  <c r="D61" i="4"/>
  <c r="B50" i="4"/>
  <c r="C51" i="4"/>
  <c r="C50" i="4"/>
  <c r="F51" i="4"/>
  <c r="E51" i="4" s="1"/>
  <c r="F50" i="4"/>
  <c r="I51" i="4"/>
  <c r="H51" i="4" s="1"/>
  <c r="I50" i="4"/>
  <c r="L51" i="4"/>
  <c r="L50" i="4"/>
  <c r="Q51" i="4"/>
  <c r="P51" i="4" s="1"/>
  <c r="Q50" i="4"/>
  <c r="Z51" i="4"/>
  <c r="Y51" i="4" s="1"/>
  <c r="Z50" i="4"/>
  <c r="AC50" i="4"/>
  <c r="AB51" i="4"/>
  <c r="AD50" i="4"/>
  <c r="AD51" i="4"/>
  <c r="AC51" i="4"/>
  <c r="K51" i="4"/>
  <c r="AC36" i="4"/>
  <c r="AB36" i="4"/>
  <c r="AA36" i="4"/>
  <c r="Z36" i="4"/>
  <c r="W35" i="4"/>
  <c r="T35" i="4"/>
  <c r="Q35" i="4"/>
  <c r="N35" i="4"/>
  <c r="N38" i="4" s="1"/>
  <c r="O35" i="4" s="1"/>
  <c r="P35" i="4" s="1"/>
  <c r="Q38" i="4" s="1"/>
  <c r="R35" i="4" s="1"/>
  <c r="S35" i="4" s="1"/>
  <c r="T38" i="4" s="1"/>
  <c r="U35" i="4" s="1"/>
  <c r="V35" i="4" s="1"/>
  <c r="W38" i="4" s="1"/>
  <c r="X35" i="4" s="1"/>
  <c r="Y35" i="4" s="1"/>
  <c r="C36" i="4"/>
  <c r="D36" i="4"/>
  <c r="E36" i="4"/>
  <c r="F36" i="4"/>
  <c r="G36" i="4"/>
  <c r="H36" i="4"/>
  <c r="I36" i="4"/>
  <c r="J36" i="4"/>
  <c r="K36" i="4"/>
  <c r="L36" i="4"/>
  <c r="M36" i="4"/>
  <c r="B36" i="4"/>
  <c r="Z32" i="4"/>
  <c r="Q32" i="4"/>
  <c r="L32" i="4"/>
  <c r="I32" i="4"/>
  <c r="J32" i="4" s="1"/>
  <c r="K32" i="4" s="1"/>
  <c r="F32" i="4"/>
  <c r="G32" i="4" s="1"/>
  <c r="H32" i="4" s="1"/>
  <c r="I27" i="4" s="1"/>
  <c r="C32" i="4"/>
  <c r="D32" i="4" s="1"/>
  <c r="E32" i="4" s="1"/>
  <c r="AD26" i="4"/>
  <c r="AC26" i="4"/>
  <c r="C26" i="4"/>
  <c r="B25" i="4" s="1"/>
  <c r="C25" i="4"/>
  <c r="F26" i="4"/>
  <c r="E26" i="4" s="1"/>
  <c r="F25" i="4"/>
  <c r="I26" i="4"/>
  <c r="H26" i="4" s="1"/>
  <c r="I25" i="4"/>
  <c r="L26" i="4"/>
  <c r="K26" i="4" s="1"/>
  <c r="Q26" i="4"/>
  <c r="P26" i="4" s="1"/>
  <c r="L25" i="4"/>
  <c r="Z26" i="4"/>
  <c r="Y26" i="4" s="1"/>
  <c r="Q25" i="4"/>
  <c r="Z25" i="4"/>
  <c r="AC25" i="4"/>
  <c r="AB26" i="4" s="1"/>
  <c r="AD25" i="4"/>
  <c r="F52" i="4" l="1"/>
  <c r="C109" i="4"/>
  <c r="D102" i="4"/>
  <c r="E102" i="4" s="1"/>
  <c r="F102" i="4" s="1"/>
  <c r="L76" i="4"/>
  <c r="M81" i="4" s="1"/>
  <c r="Q57" i="4"/>
  <c r="W57" i="4"/>
  <c r="T57" i="4"/>
  <c r="N63" i="4"/>
  <c r="O60" i="4" s="1"/>
  <c r="P60" i="4" s="1"/>
  <c r="Q63" i="4" s="1"/>
  <c r="R60" i="4" s="1"/>
  <c r="S60" i="4" s="1"/>
  <c r="T63" i="4" s="1"/>
  <c r="U60" i="4" s="1"/>
  <c r="V60" i="4" s="1"/>
  <c r="W63" i="4" s="1"/>
  <c r="X60" i="4" s="1"/>
  <c r="Y60" i="4" s="1"/>
  <c r="N57" i="4"/>
  <c r="M32" i="4"/>
  <c r="N32" i="4" s="1"/>
  <c r="Q27" i="4" s="1"/>
  <c r="T32" i="4" s="1"/>
  <c r="W32" i="4" s="1"/>
  <c r="Z27" i="4" s="1"/>
  <c r="AA32" i="4" s="1"/>
  <c r="AB32" i="4" s="1"/>
  <c r="L27" i="4"/>
  <c r="Z97" i="4"/>
  <c r="G102" i="4" l="1"/>
  <c r="H102" i="4" s="1"/>
  <c r="I102" i="4" s="1"/>
  <c r="J102" i="4" s="1"/>
  <c r="K102" i="4" s="1"/>
  <c r="L102" i="4" s="1"/>
  <c r="M102" i="4" s="1"/>
  <c r="N105" i="4" s="1"/>
  <c r="O105" i="4" s="1"/>
  <c r="P105" i="4" s="1"/>
  <c r="Q105" i="4" s="1"/>
  <c r="R105" i="4" s="1"/>
  <c r="S105" i="4" s="1"/>
  <c r="T105" i="4" s="1"/>
  <c r="U105" i="4" s="1"/>
  <c r="V105" i="4" s="1"/>
  <c r="W105" i="4" s="1"/>
  <c r="X105" i="4" s="1"/>
  <c r="Y105" i="4" s="1"/>
  <c r="F97" i="4"/>
  <c r="N81" i="4"/>
  <c r="Q76" i="4" s="1"/>
  <c r="T81" i="4" s="1"/>
  <c r="W81" i="4" s="1"/>
  <c r="Z76" i="4" s="1"/>
  <c r="AA81" i="4" s="1"/>
  <c r="AB81" i="4" s="1"/>
  <c r="N87" i="4"/>
  <c r="O84" i="4" s="1"/>
  <c r="P84" i="4" s="1"/>
  <c r="Q87" i="4" s="1"/>
  <c r="R84" i="4" s="1"/>
  <c r="S84" i="4" s="1"/>
  <c r="T87" i="4" s="1"/>
  <c r="U84" i="4" s="1"/>
  <c r="V84" i="4" s="1"/>
  <c r="W87" i="4" s="1"/>
  <c r="X84" i="4" s="1"/>
  <c r="Y84" i="4" s="1"/>
  <c r="D30" i="2"/>
  <c r="D31" i="2"/>
  <c r="D32" i="2"/>
  <c r="C33" i="2"/>
  <c r="D33" i="2" s="1"/>
  <c r="D19" i="2"/>
  <c r="D22" i="2"/>
  <c r="D25" i="2"/>
  <c r="C25" i="2" s="1"/>
  <c r="E24" i="2" s="1"/>
  <c r="D28" i="2"/>
  <c r="D6" i="2"/>
  <c r="D7" i="2"/>
  <c r="D8" i="2"/>
  <c r="D9" i="2"/>
  <c r="D10" i="2"/>
  <c r="D11" i="2"/>
  <c r="D12" i="2"/>
  <c r="D13" i="2"/>
  <c r="D14" i="2"/>
  <c r="D15" i="2"/>
  <c r="D16" i="2"/>
  <c r="D17" i="2"/>
  <c r="I97" i="4" l="1"/>
  <c r="L97" i="4" s="1"/>
  <c r="E28" i="2"/>
  <c r="C29" i="2" s="1"/>
  <c r="C28" i="2"/>
  <c r="E27" i="2" l="1"/>
  <c r="D29" i="2"/>
  <c r="E25" i="2"/>
  <c r="C26" i="2" s="1"/>
  <c r="E22" i="2"/>
  <c r="C23" i="2" s="1"/>
  <c r="C22" i="2"/>
  <c r="E19" i="2"/>
  <c r="C20" i="2" s="1"/>
  <c r="C19" i="2"/>
  <c r="E18" i="2"/>
  <c r="D18" i="2" s="1"/>
  <c r="D27" i="2" l="1"/>
  <c r="D26" i="2"/>
  <c r="D24" i="2"/>
  <c r="D23" i="2"/>
  <c r="E21" i="2"/>
  <c r="D20" i="2"/>
  <c r="D2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<sst xmlns="http://schemas.openxmlformats.org/spreadsheetml/2006/main" count="1378" uniqueCount="788">
  <si>
    <t>Aaa</t>
  </si>
  <si>
    <t>Aa1</t>
  </si>
  <si>
    <t>Aa2</t>
  </si>
  <si>
    <t>Aa3</t>
  </si>
  <si>
    <t>A1</t>
  </si>
  <si>
    <t>A2</t>
  </si>
  <si>
    <t>A3</t>
  </si>
  <si>
    <t>Baa1</t>
  </si>
  <si>
    <t>Baa2</t>
  </si>
  <si>
    <t>Baa3</t>
  </si>
  <si>
    <t>Ba1</t>
  </si>
  <si>
    <t>Ba2</t>
  </si>
  <si>
    <t>Ba3</t>
  </si>
  <si>
    <t>B1</t>
  </si>
  <si>
    <t>B2</t>
  </si>
  <si>
    <t>B3</t>
  </si>
  <si>
    <t>Caa1</t>
  </si>
  <si>
    <t>Caa2</t>
  </si>
  <si>
    <t>Caa3</t>
  </si>
  <si>
    <t>Ca-C</t>
  </si>
  <si>
    <t>Moody's</t>
  </si>
  <si>
    <t>ElCap</t>
  </si>
  <si>
    <t>PD Low</t>
  </si>
  <si>
    <t>PD High</t>
  </si>
  <si>
    <t>Ratings</t>
  </si>
  <si>
    <t>Probability of Default</t>
  </si>
  <si>
    <t>Quantitative Factors</t>
  </si>
  <si>
    <t>???</t>
  </si>
  <si>
    <t>Judgemental Scorecard</t>
  </si>
  <si>
    <t>Credit Scoring Scorecard</t>
  </si>
  <si>
    <t>PayNet</t>
  </si>
  <si>
    <t>SBSS</t>
  </si>
  <si>
    <t>SBRI</t>
  </si>
  <si>
    <t>Low</t>
  </si>
  <si>
    <t>High</t>
  </si>
  <si>
    <t>Other Factors</t>
  </si>
  <si>
    <t>Time in Business</t>
  </si>
  <si>
    <t>Comp Credit</t>
  </si>
  <si>
    <t>Transacion Size</t>
  </si>
  <si>
    <t>Number of Guarantors</t>
  </si>
  <si>
    <t>PD Mid</t>
  </si>
  <si>
    <t>FICO SBSS Score Range</t>
  </si>
  <si>
    <t>Estimated PD (%)</t>
  </si>
  <si>
    <t>260–300</t>
  </si>
  <si>
    <t>&lt; 2%</t>
  </si>
  <si>
    <t>220–259</t>
  </si>
  <si>
    <t>2–5%</t>
  </si>
  <si>
    <t>180–219</t>
  </si>
  <si>
    <t>5–10%</t>
  </si>
  <si>
    <t>155–179</t>
  </si>
  <si>
    <t>10–20%</t>
  </si>
  <si>
    <t>120–154</t>
  </si>
  <si>
    <t>20–35%</t>
  </si>
  <si>
    <t>80–119</t>
  </si>
  <si>
    <t>35–50%</t>
  </si>
  <si>
    <t>0–79</t>
  </si>
  <si>
    <t>&gt; 50%</t>
  </si>
  <si>
    <t>SBRI Lease Score Range</t>
  </si>
  <si>
    <t>950–999</t>
  </si>
  <si>
    <t>&lt; 1%</t>
  </si>
  <si>
    <t>900–949</t>
  </si>
  <si>
    <t>1–3%</t>
  </si>
  <si>
    <t>850–899</t>
  </si>
  <si>
    <t>3–6%</t>
  </si>
  <si>
    <t>800–849</t>
  </si>
  <si>
    <t>6–10%</t>
  </si>
  <si>
    <t>750–799</t>
  </si>
  <si>
    <t>10–15%</t>
  </si>
  <si>
    <t>700–749</t>
  </si>
  <si>
    <t>15–25%</t>
  </si>
  <si>
    <t>620–699</t>
  </si>
  <si>
    <t>25–40%</t>
  </si>
  <si>
    <t>0</t>
  </si>
  <si>
    <t>&gt; 40%</t>
  </si>
  <si>
    <t>RiskCalc Static Bond Default Rate Mapping Cutoffs</t>
  </si>
  <si>
    <t>1-Year Boundaries*</t>
  </si>
  <si>
    <t>5-Year Boundaries*</t>
  </si>
  <si>
    <t>Lower Bound</t>
  </si>
  <si>
    <t>Upper Bound</t>
  </si>
  <si>
    <t>(Greater Than or Equal To)</t>
  </si>
  <si>
    <t>(Less Than)</t>
  </si>
  <si>
    <t xml:space="preserve"> </t>
  </si>
  <si>
    <t xml:space="preserve">Aaa </t>
  </si>
  <si>
    <t xml:space="preserve">Aa1 </t>
  </si>
  <si>
    <t xml:space="preserve">Aa2 </t>
  </si>
  <si>
    <t xml:space="preserve">Aa3 </t>
  </si>
  <si>
    <t xml:space="preserve">A1 </t>
  </si>
  <si>
    <t xml:space="preserve">A2 </t>
  </si>
  <si>
    <t xml:space="preserve">A3 </t>
  </si>
  <si>
    <t xml:space="preserve">Baa1 </t>
  </si>
  <si>
    <t xml:space="preserve">Baa2 </t>
  </si>
  <si>
    <t xml:space="preserve">Baa3 </t>
  </si>
  <si>
    <t xml:space="preserve">Ba1 </t>
  </si>
  <si>
    <t xml:space="preserve">Ba2 </t>
  </si>
  <si>
    <t xml:space="preserve">Ba3 </t>
  </si>
  <si>
    <t xml:space="preserve">B1 </t>
  </si>
  <si>
    <t xml:space="preserve">B2 </t>
  </si>
  <si>
    <t xml:space="preserve">B3 </t>
  </si>
  <si>
    <t xml:space="preserve">Caa/C </t>
  </si>
  <si>
    <t>*1-Year and 5-Year Boundaries apply to RiskCalc model versions 3.1 and above</t>
  </si>
  <si>
    <t>PayNet Hist. Def. Rate</t>
  </si>
  <si>
    <t>2008-2021 Originations</t>
  </si>
  <si>
    <t>FICO 8</t>
  </si>
  <si>
    <t>New Acq., Trade Line 90+/default</t>
  </si>
  <si>
    <t>Note: this is based on consumer loans</t>
  </si>
  <si>
    <t>Later do mini-study comparing SBSS PDs based on consumer only, with FICO score</t>
  </si>
  <si>
    <t>FICO</t>
  </si>
  <si>
    <t>Cash Flow</t>
  </si>
  <si>
    <t>Liquidity</t>
  </si>
  <si>
    <t>Leverage</t>
  </si>
  <si>
    <t>Current Ratio</t>
  </si>
  <si>
    <t>OCF Ratio</t>
  </si>
  <si>
    <t>DSCR</t>
  </si>
  <si>
    <t>EBITDA / Interest Exp.</t>
  </si>
  <si>
    <t>Debt / EBITDA</t>
  </si>
  <si>
    <t>Debt / TNW</t>
  </si>
  <si>
    <t>OCF / Debt</t>
  </si>
  <si>
    <t>AAA</t>
  </si>
  <si>
    <t>AA</t>
  </si>
  <si>
    <t>A</t>
  </si>
  <si>
    <t>BAA</t>
  </si>
  <si>
    <t>Expanded Moodys</t>
  </si>
  <si>
    <t xml:space="preserve">ElCap </t>
  </si>
  <si>
    <t>BA</t>
  </si>
  <si>
    <t>&lt;Ca</t>
  </si>
  <si>
    <t>CAA</t>
  </si>
  <si>
    <t>Moodys Rating Methodology</t>
  </si>
  <si>
    <t xml:space="preserve">Quantataivte Factor </t>
  </si>
  <si>
    <t xml:space="preserve">EBITDA Margin </t>
  </si>
  <si>
    <t>EBITDA / Interest Exp</t>
  </si>
  <si>
    <t xml:space="preserve">OCF Ratio </t>
  </si>
  <si>
    <t xml:space="preserve">Debt / TNW </t>
  </si>
  <si>
    <t xml:space="preserve">OCF / Debt </t>
  </si>
  <si>
    <t xml:space="preserve">Moodys Rating Methodology </t>
  </si>
  <si>
    <t xml:space="preserve">Construction </t>
  </si>
  <si>
    <t>&lt;0.50x</t>
  </si>
  <si>
    <t>0.50x -1.00x</t>
  </si>
  <si>
    <t>1.00x - 1.50x</t>
  </si>
  <si>
    <t>1.50x - 2.50x</t>
  </si>
  <si>
    <t>2.50x  - 4.00x</t>
  </si>
  <si>
    <t xml:space="preserve">4.00x - 6.00x </t>
  </si>
  <si>
    <t>6.00x - 8.50x</t>
  </si>
  <si>
    <t>&gt;8.50x</t>
  </si>
  <si>
    <t>Equipment and Transport Rental</t>
  </si>
  <si>
    <t xml:space="preserve">Weight </t>
  </si>
  <si>
    <t xml:space="preserve">Revenue </t>
  </si>
  <si>
    <t xml:space="preserve">Manufacturing </t>
  </si>
  <si>
    <t>1.00x - 1.75x</t>
  </si>
  <si>
    <t>1.75x - 3.25x</t>
  </si>
  <si>
    <t>3.25x  - 4.75x</t>
  </si>
  <si>
    <t>4.75x-6.25x</t>
  </si>
  <si>
    <t>6.25x - 7.75x</t>
  </si>
  <si>
    <t>&gt;7.75x</t>
  </si>
  <si>
    <t xml:space="preserve">Surface transport / Trucking </t>
  </si>
  <si>
    <t>1.00x - 2.50x</t>
  </si>
  <si>
    <t>2.50x - 3.50x</t>
  </si>
  <si>
    <t>3.50x  - 4.50x</t>
  </si>
  <si>
    <t xml:space="preserve">4.50x - 6.00x </t>
  </si>
  <si>
    <t>6.00x - 9.00x</t>
  </si>
  <si>
    <t>&gt;9.00x</t>
  </si>
  <si>
    <t>Low/ High Range</t>
  </si>
  <si>
    <t>Mid Point</t>
  </si>
  <si>
    <t>Debt/EBITDA</t>
  </si>
  <si>
    <t>0.50x - 1.00x</t>
  </si>
  <si>
    <t>1.00x - 1.8125</t>
  </si>
  <si>
    <t>1.8125x - 2.9375x</t>
  </si>
  <si>
    <t>2.9375x - 4.3125x</t>
  </si>
  <si>
    <t>4.3125x - 6.0625x</t>
  </si>
  <si>
    <t>6.0625x - 8.4375x</t>
  </si>
  <si>
    <t>&gt;8.4375</t>
  </si>
  <si>
    <t>Generic Scorecard Moody AVG Range</t>
  </si>
  <si>
    <t>Generic Scorecard Expanded Moodys Range</t>
  </si>
  <si>
    <t>Work for Below</t>
  </si>
  <si>
    <t>0.50x - 0.6667x</t>
  </si>
  <si>
    <t>0.6667x - 0.8334x</t>
  </si>
  <si>
    <t>0.8334x - 1.00x</t>
  </si>
  <si>
    <t>1.00x - 1.2708x</t>
  </si>
  <si>
    <t>1.2708x - 1.5416x</t>
  </si>
  <si>
    <t>1.5416x - 1.8125x</t>
  </si>
  <si>
    <t>1.8125x - 2.1875x</t>
  </si>
  <si>
    <t>2.1875x - 2.5625x</t>
  </si>
  <si>
    <t>2.5626x - 2.9375x</t>
  </si>
  <si>
    <t>2.9375x - 3.3958x</t>
  </si>
  <si>
    <t>3.3958x - 3.8541x</t>
  </si>
  <si>
    <t>3.8541x - 4.3125x</t>
  </si>
  <si>
    <t>4.3125x - 4.8958x</t>
  </si>
  <si>
    <t xml:space="preserve">4.8958x - 5.4791x </t>
  </si>
  <si>
    <t>5.4791x  - 6.0625x</t>
  </si>
  <si>
    <t>6.0625x - 6.8541x</t>
  </si>
  <si>
    <t>6.8541x - 7.6458x</t>
  </si>
  <si>
    <t>&gt;8.4375x</t>
  </si>
  <si>
    <t>7.6458x - 8.4375x</t>
  </si>
  <si>
    <t xml:space="preserve">Generic Scorecard ElCap Range </t>
  </si>
  <si>
    <t>3.8541x - 4.0069x</t>
  </si>
  <si>
    <t>4.0069x - 4.1597x</t>
  </si>
  <si>
    <t>4.1597x - 4.3125x</t>
  </si>
  <si>
    <t>4.3125x - 4.5069x</t>
  </si>
  <si>
    <t>4.5069x - 4.7014x</t>
  </si>
  <si>
    <t>4.7014x - 4.8958x</t>
  </si>
  <si>
    <t>4.8958x - 5.0902x</t>
  </si>
  <si>
    <t>5.0902x - 5.2847x</t>
  </si>
  <si>
    <t>5.2847x - 5.4791x</t>
  </si>
  <si>
    <t>5.4791x - 5.6736x</t>
  </si>
  <si>
    <t xml:space="preserve">5.6736x - 5.8680x </t>
  </si>
  <si>
    <t>5.8680x - 6.0625x</t>
  </si>
  <si>
    <t>EBITDA / Interest Expense</t>
  </si>
  <si>
    <t>&gt;30x</t>
  </si>
  <si>
    <t xml:space="preserve">30x - 20x </t>
  </si>
  <si>
    <t xml:space="preserve">20x - 10x </t>
  </si>
  <si>
    <t>10x - 7x</t>
  </si>
  <si>
    <t xml:space="preserve">7x - 4x </t>
  </si>
  <si>
    <t>4x -2x</t>
  </si>
  <si>
    <t>2x - 1x</t>
  </si>
  <si>
    <t>&lt;1x</t>
  </si>
  <si>
    <t>&gt;35x</t>
  </si>
  <si>
    <t>35x - 25x</t>
  </si>
  <si>
    <t>25x -15x</t>
  </si>
  <si>
    <t>15x - 10x</t>
  </si>
  <si>
    <t>10x - 6x</t>
  </si>
  <si>
    <t>6x - 2.5x</t>
  </si>
  <si>
    <t>2.5x -1x</t>
  </si>
  <si>
    <t>&gt;20x</t>
  </si>
  <si>
    <t>20x - 15x</t>
  </si>
  <si>
    <t>15x -10x</t>
  </si>
  <si>
    <t>4x - 1.5x</t>
  </si>
  <si>
    <t>1.5x - 0.75x</t>
  </si>
  <si>
    <t>&lt;0.75x</t>
  </si>
  <si>
    <t>15 -10x</t>
  </si>
  <si>
    <t>10x - 5x</t>
  </si>
  <si>
    <t>5x -2.5x</t>
  </si>
  <si>
    <t>1x -0.50x</t>
  </si>
  <si>
    <t>&gt;26.2500x</t>
  </si>
  <si>
    <t>26.2500x - 18.7500x</t>
  </si>
  <si>
    <t>18.75x - 11.25x</t>
  </si>
  <si>
    <t xml:space="preserve">11.25x to 7.25x </t>
  </si>
  <si>
    <t>7.25x to 4.1250x</t>
  </si>
  <si>
    <t>4.1250x to 1.7500x</t>
  </si>
  <si>
    <t>1.7500x - 0.8125x</t>
  </si>
  <si>
    <t>&lt;8.125x</t>
  </si>
  <si>
    <t>26.2500x - 23.7500x</t>
  </si>
  <si>
    <t>23.7500x - 21.2500x</t>
  </si>
  <si>
    <t>21.2500x - 18.7500x</t>
  </si>
  <si>
    <t>18.7500x - 16.2500x</t>
  </si>
  <si>
    <t>16.2500x - 13.7500x</t>
  </si>
  <si>
    <t>13.7500x - 11.2500x</t>
  </si>
  <si>
    <t>11.2500x - 9.9167x</t>
  </si>
  <si>
    <t>9.9167x - 8.5833x</t>
  </si>
  <si>
    <t>8.5833x - 7.2500x</t>
  </si>
  <si>
    <t>7.2500x - 6.2083x</t>
  </si>
  <si>
    <t>6.2083x - 5.1667x</t>
  </si>
  <si>
    <t>5.1667x - 4.1250x</t>
  </si>
  <si>
    <t>5.1667x - 4.8194x</t>
  </si>
  <si>
    <t>4.8194x -4.4722x</t>
  </si>
  <si>
    <t>4.4722x - 4.1250x</t>
  </si>
  <si>
    <t>4.1250x - 3.3333x</t>
  </si>
  <si>
    <t>3.3333x - 2.5417x</t>
  </si>
  <si>
    <t xml:space="preserve">2.5417x - 1.7500x </t>
  </si>
  <si>
    <t>1.7500x - 1.4375x</t>
  </si>
  <si>
    <t>1.4375x - 1.1250x</t>
  </si>
  <si>
    <t>1.1250x - 0.8125x</t>
  </si>
  <si>
    <t>4.1250x - 3.8611x</t>
  </si>
  <si>
    <t>3.8611x - 3.5972x</t>
  </si>
  <si>
    <t>3.5972x - 3.3333x</t>
  </si>
  <si>
    <t>3.3333x - 3.0694x</t>
  </si>
  <si>
    <t>3.0694x - 2.8055x</t>
  </si>
  <si>
    <t>2.8055x - 2.5417x</t>
  </si>
  <si>
    <t>2.5417x - 2.2778x</t>
  </si>
  <si>
    <t>2.2778x - 2.0139x</t>
  </si>
  <si>
    <t>2.0139x - 1.7500x</t>
  </si>
  <si>
    <t>&lt;0.8125x</t>
  </si>
  <si>
    <t>&gt;40%</t>
  </si>
  <si>
    <t>40% - 30%</t>
  </si>
  <si>
    <t>30% - 20%</t>
  </si>
  <si>
    <t>20% - 15%</t>
  </si>
  <si>
    <t>15%-10%</t>
  </si>
  <si>
    <t>10% - 5%</t>
  </si>
  <si>
    <t>5% - 2.50%</t>
  </si>
  <si>
    <t>&lt;2.50%</t>
  </si>
  <si>
    <t>&gt;35%</t>
  </si>
  <si>
    <t>35% - 25%</t>
  </si>
  <si>
    <t>25% - 17%</t>
  </si>
  <si>
    <t>17% - 12%</t>
  </si>
  <si>
    <t>12% - 7%</t>
  </si>
  <si>
    <t>7% - 2.5%</t>
  </si>
  <si>
    <t>2.50% - 0%</t>
  </si>
  <si>
    <t>&lt;0%</t>
  </si>
  <si>
    <t>&gt;60%</t>
  </si>
  <si>
    <t>60% - 35%</t>
  </si>
  <si>
    <t>25% -20%</t>
  </si>
  <si>
    <t xml:space="preserve">EBIT Margin </t>
  </si>
  <si>
    <t>EBIT Margin</t>
  </si>
  <si>
    <t>15%- 10%</t>
  </si>
  <si>
    <t>10%-5%</t>
  </si>
  <si>
    <t>&lt;5%</t>
  </si>
  <si>
    <t>&gt;45%</t>
  </si>
  <si>
    <t xml:space="preserve">45% - 30% </t>
  </si>
  <si>
    <t>30% - 20.6667%</t>
  </si>
  <si>
    <t>20.6667% - 15.6667%</t>
  </si>
  <si>
    <t>15.6667% - 10.6667%</t>
  </si>
  <si>
    <t xml:space="preserve">10.6667% - 5.8333% </t>
  </si>
  <si>
    <t>5.8333% - 2.5000%</t>
  </si>
  <si>
    <t>&lt;2.5000%</t>
  </si>
  <si>
    <t>45% - 40%</t>
  </si>
  <si>
    <t>40% -35%</t>
  </si>
  <si>
    <t>35% - 30%</t>
  </si>
  <si>
    <t>30% - 26.8889%</t>
  </si>
  <si>
    <t>26.8889% - 23.7778%</t>
  </si>
  <si>
    <t>23.7778% - 20.6667%</t>
  </si>
  <si>
    <t>20.6667% - 19.0000%</t>
  </si>
  <si>
    <t>19.0000% -17.3334%</t>
  </si>
  <si>
    <t>17.3334% -  15.6667%</t>
  </si>
  <si>
    <t>15.6667% - 14.0000%</t>
  </si>
  <si>
    <t>14.0000% - 12.3334%</t>
  </si>
  <si>
    <t>12.3334% - 10.6667%</t>
  </si>
  <si>
    <t>10.6667% - 9.0556%</t>
  </si>
  <si>
    <t>9.0556% - 7.4444%</t>
  </si>
  <si>
    <t>7.4444% - 5.8333%</t>
  </si>
  <si>
    <t>5.8333% - 4.7222%</t>
  </si>
  <si>
    <t>4.7222% - 3.6111%</t>
  </si>
  <si>
    <t xml:space="preserve">3.6111% - 2.5000% </t>
  </si>
  <si>
    <t>12.3334% - 11.7778%</t>
  </si>
  <si>
    <t>11.7778% - 11.2222%</t>
  </si>
  <si>
    <t>11.2222% - 10.6667%</t>
  </si>
  <si>
    <t>10.6667% - 10.1296%</t>
  </si>
  <si>
    <t>10.1296% - 9.5926%</t>
  </si>
  <si>
    <t>9.5926% - 9.0556%</t>
  </si>
  <si>
    <t>9.0556% - 8.5185%</t>
  </si>
  <si>
    <t>8.5185% - 7.9814%</t>
  </si>
  <si>
    <t>7.9814% - 7.4444%</t>
  </si>
  <si>
    <t>7.4444% - 6.9073%</t>
  </si>
  <si>
    <t>6.9073% - 6.3703%</t>
  </si>
  <si>
    <t>6.3703% - 5.8333%</t>
  </si>
  <si>
    <t>45.0000% - 40.0000%</t>
  </si>
  <si>
    <t>39.9999% -35%</t>
  </si>
  <si>
    <t>34.9999% - 30%</t>
  </si>
  <si>
    <t>29.9999% - 26.8889%</t>
  </si>
  <si>
    <t>26.8888% - 23.7778%</t>
  </si>
  <si>
    <t>23.7777% - 20.6667%</t>
  </si>
  <si>
    <t>20.6666% - 19.0000%</t>
  </si>
  <si>
    <t>18.9999% -17.3334%</t>
  </si>
  <si>
    <t>17.3333% -  15.6667%</t>
  </si>
  <si>
    <t>15.6666% - 14.0000%</t>
  </si>
  <si>
    <t>13.9999% - 12.3334%</t>
  </si>
  <si>
    <t>12.3333% - 11.7778%</t>
  </si>
  <si>
    <t>11.7777% - 11.2222%</t>
  </si>
  <si>
    <t>11.2221% - 10.6667%</t>
  </si>
  <si>
    <t>10.6666% - 10.1296%</t>
  </si>
  <si>
    <t>10.1295% - 9.5926%</t>
  </si>
  <si>
    <t>9.5925% - 9.0556%</t>
  </si>
  <si>
    <t>9.0555% - 8.5185%</t>
  </si>
  <si>
    <t>8.5184% - 7.9814%</t>
  </si>
  <si>
    <t>7.9813% - 7.4444%</t>
  </si>
  <si>
    <t>7.4443% - 6.9073%</t>
  </si>
  <si>
    <t>6.9072% - 6.3703%</t>
  </si>
  <si>
    <t>6.3702% - 5.8333%</t>
  </si>
  <si>
    <t>5.8332% - 4.7222%</t>
  </si>
  <si>
    <t>4.7221% - 3.6111%</t>
  </si>
  <si>
    <t xml:space="preserve">3.6110% - 2.5000% </t>
  </si>
  <si>
    <t>&gt;45.0000%</t>
  </si>
  <si>
    <t>23.7499x - 21.2500x</t>
  </si>
  <si>
    <t>21.2499x - 18.7500x</t>
  </si>
  <si>
    <t>18.7499x - 16.2500x</t>
  </si>
  <si>
    <t>16.2499x - 13.7500x</t>
  </si>
  <si>
    <t>13.7499x - 11.2500x</t>
  </si>
  <si>
    <t>11.2499x - 9.9167x</t>
  </si>
  <si>
    <t>9.9166x - 8.5833x</t>
  </si>
  <si>
    <t>8.5832x - 7.2500x</t>
  </si>
  <si>
    <t>7.2499x - 6.2083x</t>
  </si>
  <si>
    <t>6.2082x - 5.1667x</t>
  </si>
  <si>
    <t>5.1666x - 4.8194x</t>
  </si>
  <si>
    <t>4.8193x -4.4722x</t>
  </si>
  <si>
    <t>4.4721x - 4.1250x</t>
  </si>
  <si>
    <t>4.1249x - 3.8611x</t>
  </si>
  <si>
    <t>3.8610x - 3.5972x</t>
  </si>
  <si>
    <t>3.5971x - 3.3333x</t>
  </si>
  <si>
    <t>3.3332x - 3.0694x</t>
  </si>
  <si>
    <t>3.0693x - 2.8055x</t>
  </si>
  <si>
    <t>2.8054x - 2.5417x</t>
  </si>
  <si>
    <t>2.5416x - 2.2778x</t>
  </si>
  <si>
    <t>2.2777x - 2.0139x</t>
  </si>
  <si>
    <t>2.0138x - 1.7500x</t>
  </si>
  <si>
    <t>1.7499x - 1.4375x</t>
  </si>
  <si>
    <t>1.4374x - 1.1250x</t>
  </si>
  <si>
    <t>1.1249x - 0.8125x</t>
  </si>
  <si>
    <t>1.2709x - 1.5416x</t>
  </si>
  <si>
    <t>0.51x - 0.6667x</t>
  </si>
  <si>
    <t>0.6668x - 0.8334x</t>
  </si>
  <si>
    <t>0.8335x - 1.0000x</t>
  </si>
  <si>
    <t>1.0001x - 1.2708x</t>
  </si>
  <si>
    <t>1.5417x - 1.8125x</t>
  </si>
  <si>
    <t>1.8126x - 2.1875x</t>
  </si>
  <si>
    <t>2.1876x - 2.5625x</t>
  </si>
  <si>
    <t>2.5627x - 2.9375x</t>
  </si>
  <si>
    <t>2.9376x - 3.3958x</t>
  </si>
  <si>
    <t>3.3959x - 3.8541x</t>
  </si>
  <si>
    <t>3.8542x - 4.0069x</t>
  </si>
  <si>
    <t>4.0070x - 4.1597x</t>
  </si>
  <si>
    <t>4.1598x - 4.3125x</t>
  </si>
  <si>
    <t>4.3126x - 4.5069x</t>
  </si>
  <si>
    <t>4.5070x - 4.7014x</t>
  </si>
  <si>
    <t>4.7015x - 4.8958x</t>
  </si>
  <si>
    <t>4.8959x - 5.0902x</t>
  </si>
  <si>
    <t>5.0903x - 5.2847x</t>
  </si>
  <si>
    <t>5.2848x - 5.4791x</t>
  </si>
  <si>
    <t>5.4792x - 5.6736x</t>
  </si>
  <si>
    <t xml:space="preserve">5.6737x - 5.8680x </t>
  </si>
  <si>
    <t>5.8681x - 6.0625x</t>
  </si>
  <si>
    <t>6.0626x - 6.8541x</t>
  </si>
  <si>
    <t>6.8542x - 7.6458x</t>
  </si>
  <si>
    <t>7.6459x - 8.4375x</t>
  </si>
  <si>
    <t xml:space="preserve">OCF / DEBT </t>
  </si>
  <si>
    <t>&gt;25%</t>
  </si>
  <si>
    <t>25% - 20%</t>
  </si>
  <si>
    <t>15% - 10%</t>
  </si>
  <si>
    <t>5% - 0%</t>
  </si>
  <si>
    <t>&lt;-5%</t>
  </si>
  <si>
    <t>&gt;25.0000%</t>
  </si>
  <si>
    <t>25.0000% - 23.3333%</t>
  </si>
  <si>
    <t>23.3333% - 21.6667%</t>
  </si>
  <si>
    <t>21.6667% - 20.0000%</t>
  </si>
  <si>
    <t>0% -(- 5%)</t>
  </si>
  <si>
    <t>20.0000% - 18.3333%</t>
  </si>
  <si>
    <t>18.3333% - 16.6667%</t>
  </si>
  <si>
    <t>16.6667% - 15.0000%</t>
  </si>
  <si>
    <t>15.0000% - 13.3333%</t>
  </si>
  <si>
    <t>13.3333% - 11.6667%</t>
  </si>
  <si>
    <t>11.6667% - 10.0000%</t>
  </si>
  <si>
    <t>10.0000% - 8.3333%</t>
  </si>
  <si>
    <t>8.3333% - 6.6667%</t>
  </si>
  <si>
    <t>0.0000% - (-1.6667%)</t>
  </si>
  <si>
    <t>(-1.6667%) - (-3.3333%)</t>
  </si>
  <si>
    <t>&lt;(-5.0000%)</t>
  </si>
  <si>
    <t>(-3.3333%) - (-5.0000%)</t>
  </si>
  <si>
    <t>1.6667% - 0.0000%</t>
  </si>
  <si>
    <t xml:space="preserve">5.0000% - 3.3333% </t>
  </si>
  <si>
    <t xml:space="preserve">3.3333% - 1.6667% </t>
  </si>
  <si>
    <t>6.6667% - 5.0000%</t>
  </si>
  <si>
    <t>6.6667% - 6.1111%</t>
  </si>
  <si>
    <t>6.1111% - 5.5555%</t>
  </si>
  <si>
    <t>5.5555% - 5.0000%</t>
  </si>
  <si>
    <t>5.0000% - 4.4444%</t>
  </si>
  <si>
    <t>4.4444% - 3.8888%</t>
  </si>
  <si>
    <t>3.8888% - 3.3333%</t>
  </si>
  <si>
    <t>3.3333% - 2.7777%</t>
  </si>
  <si>
    <t xml:space="preserve">2.7777% - 2.2222% </t>
  </si>
  <si>
    <t>2.2222% - 1.6667%</t>
  </si>
  <si>
    <t>1.6667% - 1.1111%</t>
  </si>
  <si>
    <t>1.1111% - 0.5555%</t>
  </si>
  <si>
    <t>0.5555% - 0.0000%</t>
  </si>
  <si>
    <t>23.3332% - 21.6667%</t>
  </si>
  <si>
    <t>21.6666% - 20.0000%</t>
  </si>
  <si>
    <t>19.9999% - 18.3333%</t>
  </si>
  <si>
    <t>18.3332% - 16.6667%</t>
  </si>
  <si>
    <t>16.6666% - 15.0000%</t>
  </si>
  <si>
    <t>14.9999% - 13.3333%</t>
  </si>
  <si>
    <t>13.3332% - 11.6667%</t>
  </si>
  <si>
    <t>11.6666% - 10.0000%</t>
  </si>
  <si>
    <t>9.9999% - 8.3333%</t>
  </si>
  <si>
    <t>8.3332% - 6.6667%</t>
  </si>
  <si>
    <t>6.6666% - 6.1111%</t>
  </si>
  <si>
    <t>6.1110% - 5.5555%</t>
  </si>
  <si>
    <t>5.5554% - 5.0000%</t>
  </si>
  <si>
    <t>4.9999% - 4.4444%</t>
  </si>
  <si>
    <t>4.4443% - 3.8888%</t>
  </si>
  <si>
    <t>3.8887% - 3.3333%</t>
  </si>
  <si>
    <t>3.3332% - 2.7777%</t>
  </si>
  <si>
    <t xml:space="preserve">2.7776% - 2.2222% </t>
  </si>
  <si>
    <t>2.2221% - 1.6667%</t>
  </si>
  <si>
    <t>1.6666% - 1.1111%</t>
  </si>
  <si>
    <t>1.1110% - 0.5555%</t>
  </si>
  <si>
    <t>&lt;0.0000% - (-1.6667%)</t>
  </si>
  <si>
    <t>(-1.6668%) - (-3.3333%)</t>
  </si>
  <si>
    <t>(-3.3334%) - (-5.0000%)</t>
  </si>
  <si>
    <t>Rank</t>
  </si>
  <si>
    <t>Current Ratio Band (4 decimals)</t>
  </si>
  <si>
    <t>Exceptionally strong liquidity; likely under-leveraged.</t>
  </si>
  <si>
    <t>Very strong liquidity.</t>
  </si>
  <si>
    <t>Excellent; ample working-capital cushion.</t>
  </si>
  <si>
    <t>Very healthy; well above industry norms.</t>
  </si>
  <si>
    <t>Strong; resilient position.</t>
  </si>
  <si>
    <t>Solidly above “good” range.</t>
  </si>
  <si>
    <t>Robust; well-managed balance sheet.</t>
  </si>
  <si>
    <t>High-quality liquidity profile.</t>
  </si>
  <si>
    <t>Strong working-capital performance.</t>
  </si>
  <si>
    <t>Above-average liquidity.</t>
  </si>
  <si>
    <t>Healthy; upper bound of optimal range.</t>
  </si>
  <si>
    <t>Typical manufacturing median; solid.</t>
  </si>
  <si>
    <t>Slightly below median; still sound.</t>
  </si>
  <si>
    <t>Acceptable; watch cash conversion.</t>
  </si>
  <si>
    <t>Manageable but tightening liquidity.</t>
  </si>
  <si>
    <t>Marginal; limited short-term flexibility.</t>
  </si>
  <si>
    <t>Weakening; may need financing buffer.</t>
  </si>
  <si>
    <t>Warning zone; tight cash flow.</t>
  </si>
  <si>
    <t>Minimal cushion; high monitoring needed.</t>
  </si>
  <si>
    <t>Below 1.5 implies stress; near deficit zone.</t>
  </si>
  <si>
    <t>Significant liquidity strain.</t>
  </si>
  <si>
    <t>High risk; below industry tolerance.</t>
  </si>
  <si>
    <t>Very weak liquidity.</t>
  </si>
  <si>
    <r>
      <t>Acceptable to do a deal</t>
    </r>
    <r>
      <rPr>
        <sz val="11"/>
        <color theme="1"/>
        <rFont val="Aptos Narrow"/>
        <family val="2"/>
        <scheme val="minor"/>
      </rPr>
      <t xml:space="preserve"> — borderline but possible with mitigants.</t>
    </r>
  </si>
  <si>
    <t>Distressed liquidity; caution zone.</t>
  </si>
  <si>
    <t>Critical working-capital deficiency.</t>
  </si>
  <si>
    <t>Severe distress; turnaround only.</t>
  </si>
  <si>
    <t>Insolvency territory; non-viable without restructuring.</t>
  </si>
  <si>
    <t>Bounds</t>
  </si>
  <si>
    <t>Interpretation</t>
  </si>
  <si>
    <t>2.3175x - 2.3012x</t>
  </si>
  <si>
    <t>2.3011x - 2.2849x</t>
  </si>
  <si>
    <t>2.2848x - 2.2686x</t>
  </si>
  <si>
    <t>2.2685x - 2.2523x</t>
  </si>
  <si>
    <t>2.2522x - 2.2360x</t>
  </si>
  <si>
    <t>2.2359x - 2.2197x</t>
  </si>
  <si>
    <t>2.2196x - 2.2034x</t>
  </si>
  <si>
    <t>2.2033x - 2.1871x</t>
  </si>
  <si>
    <t>2.1870x - 2.1708x</t>
  </si>
  <si>
    <t>2.1707x - 2.1545x</t>
  </si>
  <si>
    <t>2.1544x - 1.8702x</t>
  </si>
  <si>
    <t>1.8701x - 1.6447x</t>
  </si>
  <si>
    <t>1.6446x - 1.5215x</t>
  </si>
  <si>
    <t>1.5214x - 1.4484x</t>
  </si>
  <si>
    <t>1.4483x - 1.3743x</t>
  </si>
  <si>
    <t>1.3742x - 1.3002x</t>
  </si>
  <si>
    <t>1.3001x - 1.2261x</t>
  </si>
  <si>
    <t>1.2260x - 1.1520x</t>
  </si>
  <si>
    <t>1.1519x - 1.0779x</t>
  </si>
  <si>
    <t>1.0778x - 1.0038x</t>
  </si>
  <si>
    <t>1.0037x - 0.9297x</t>
  </si>
  <si>
    <t>0.9296x - 0.8556x</t>
  </si>
  <si>
    <t>0.8555x - 0.7815x</t>
  </si>
  <si>
    <t>0.7814x - 0.7074x</t>
  </si>
  <si>
    <t>0.7073x - 0.6833x</t>
  </si>
  <si>
    <t>0.6832x - 0.6592x</t>
  </si>
  <si>
    <t>0.6591x - 0.6505x</t>
  </si>
  <si>
    <t>Extremely weak; near insolvency.</t>
  </si>
  <si>
    <t>0.6504x - &lt;0.6500x</t>
  </si>
  <si>
    <t>Critical; virtually unbankable.</t>
  </si>
  <si>
    <t>0.0000x - 0.3036x</t>
  </si>
  <si>
    <t>Excellent leverage; minimal debt.</t>
  </si>
  <si>
    <t>Very strong; low risk.</t>
  </si>
  <si>
    <t>Strong; conservative financing.</t>
  </si>
  <si>
    <t>Strong; safe leverage.</t>
  </si>
  <si>
    <t>Good; manageable debt.</t>
  </si>
  <si>
    <t>Solid; low to moderate debt.</t>
  </si>
  <si>
    <t>Healthy; slightly leveraged.</t>
  </si>
  <si>
    <t>Good; bank-approved.</t>
  </si>
  <si>
    <t>Comfortable leverage.</t>
  </si>
  <si>
    <t>Slightly higher leverage; still acceptable.</t>
  </si>
  <si>
    <t>Upper end of low-risk zone.</t>
  </si>
  <si>
    <t>Moderate risk; manageable debt.</t>
  </si>
  <si>
    <t>Marginal; may require bank monitoring.</t>
  </si>
  <si>
    <r>
      <t>Acceptable</t>
    </r>
    <r>
      <rPr>
        <sz val="11"/>
        <color theme="1"/>
        <rFont val="Aptos Narrow"/>
        <family val="2"/>
        <scheme val="minor"/>
      </rPr>
      <t xml:space="preserve"> per banking standards.</t>
    </r>
  </si>
  <si>
    <t>Slightly high; banks watch closely.</t>
  </si>
  <si>
    <t>Moderate risk; may affect lending.</t>
  </si>
  <si>
    <t>Borderline; high leverage.</t>
  </si>
  <si>
    <t>Caution zone; risky.</t>
  </si>
  <si>
    <t>Thin equity; banks may restrict credit.</t>
  </si>
  <si>
    <t>Weak; high risk of insolvency.</t>
  </si>
  <si>
    <t>Very high debt; critical monitoring.</t>
  </si>
  <si>
    <t>Extreme leverage; high probability of default.</t>
  </si>
  <si>
    <t>Severely risky; almost unbankable.</t>
  </si>
  <si>
    <t>Extremely distressed; unsustainable debt.</t>
  </si>
  <si>
    <t>Distressed; high default risk.</t>
  </si>
  <si>
    <t>Critical; bankruptcy likely.</t>
  </si>
  <si>
    <t>0.3035x - 0.6071x</t>
  </si>
  <si>
    <t>0.6070x - 0.9107x</t>
  </si>
  <si>
    <t>0.9106x - 1.2143x</t>
  </si>
  <si>
    <t>1.2142x - 1.5179x</t>
  </si>
  <si>
    <t>1.5178x - 1.8214x</t>
  </si>
  <si>
    <t>1.8213x - 2.1250x</t>
  </si>
  <si>
    <t>2.1249x - 2.4286x</t>
  </si>
  <si>
    <t>2.4285x - 2.7321x</t>
  </si>
  <si>
    <t>2.7320x - 3.0357x</t>
  </si>
  <si>
    <t>3.0356x - 3.3393x</t>
  </si>
  <si>
    <t>3.3392x - 3.6429x</t>
  </si>
  <si>
    <t>3.6428x - 3.9464x</t>
  </si>
  <si>
    <t>3.9463x - 4.2500x</t>
  </si>
  <si>
    <t>4.2499x - 4.5536x</t>
  </si>
  <si>
    <t>4.5535x - 4.8571x</t>
  </si>
  <si>
    <t>4.8570x - 5.1607x</t>
  </si>
  <si>
    <t>5.1606x - 5.4643x</t>
  </si>
  <si>
    <t>5.4642x - 5.7679x</t>
  </si>
  <si>
    <t>5.7678x - 6.0714x</t>
  </si>
  <si>
    <t>6.0713x - 6.3750x</t>
  </si>
  <si>
    <t>6.3749x - 6.6786x</t>
  </si>
  <si>
    <t>6.6785x - 6.9821x</t>
  </si>
  <si>
    <t>6.9820x - 7.2857x</t>
  </si>
  <si>
    <t>7.2856x - 7.5893x</t>
  </si>
  <si>
    <t>7.5892x - 7.8929x</t>
  </si>
  <si>
    <t>7.8928x - 8.1964x</t>
  </si>
  <si>
    <t>8.1963x - 8.5000x</t>
  </si>
  <si>
    <t>Bounds (x)</t>
  </si>
  <si>
    <t>4.4873x - 4.5000x</t>
  </si>
  <si>
    <t>Exceptional cash flow relative to debt</t>
  </si>
  <si>
    <t>4.3754x - 4.4872x</t>
  </si>
  <si>
    <t>Outstanding performance</t>
  </si>
  <si>
    <t>4.2638x - 4.3753x</t>
  </si>
  <si>
    <t>Excellent liquidity</t>
  </si>
  <si>
    <t>4.1527x - 4.2637x</t>
  </si>
  <si>
    <t>Very strong financial health</t>
  </si>
  <si>
    <t>4.0416x - 4.1526x</t>
  </si>
  <si>
    <t>Strong cash generation</t>
  </si>
  <si>
    <t>3.9305x - 4.0415x</t>
  </si>
  <si>
    <t>Robust financial position</t>
  </si>
  <si>
    <t>3.8194x - 3.9304x</t>
  </si>
  <si>
    <t>Healthy cash flow</t>
  </si>
  <si>
    <t>3.7083x - 3.8193x</t>
  </si>
  <si>
    <t>Solid financial standing</t>
  </si>
  <si>
    <t>3.5972x - 3.7082x</t>
  </si>
  <si>
    <t>Above-average performance</t>
  </si>
  <si>
    <t>3.4861x - 3.5971x</t>
  </si>
  <si>
    <t>Positive cash flow</t>
  </si>
  <si>
    <t>3.3754x - 3.4860x</t>
  </si>
  <si>
    <t>Moderate financial health</t>
  </si>
  <si>
    <t>2.5648x - 3.3753x</t>
  </si>
  <si>
    <t>Slightly above average</t>
  </si>
  <si>
    <t>Slightly below average</t>
  </si>
  <si>
    <t>Industry average (~1.14x)</t>
  </si>
  <si>
    <t>Below-average performance</t>
  </si>
  <si>
    <t>Weak financial health</t>
  </si>
  <si>
    <t>Struggling cash flow</t>
  </si>
  <si>
    <t>Financially challenged</t>
  </si>
  <si>
    <t>High debt relative to cash flow</t>
  </si>
  <si>
    <t>Critical cash flow issues</t>
  </si>
  <si>
    <t>Severe financial distress</t>
  </si>
  <si>
    <t>0.2630x - 0.3730x</t>
  </si>
  <si>
    <t>Imminent liquidity concerns</t>
  </si>
  <si>
    <t>1.8537x - 2.5647x</t>
  </si>
  <si>
    <t>1.6436x - 1.8536x</t>
  </si>
  <si>
    <t>Weakly above-average</t>
  </si>
  <si>
    <t>1.4335x - 1.6435x</t>
  </si>
  <si>
    <t>1.2234x - 1.4334x</t>
  </si>
  <si>
    <t>1.1733x - 1.2233x</t>
  </si>
  <si>
    <t>1.1438x - 1.1732x</t>
  </si>
  <si>
    <t>1.0337x - 1.1437x</t>
  </si>
  <si>
    <t>Below industry average</t>
  </si>
  <si>
    <t>1.1436x - 1.0336x</t>
  </si>
  <si>
    <t>0.9235x - 1.0335x</t>
  </si>
  <si>
    <t>0.8134x - 0.9234x</t>
  </si>
  <si>
    <t>0.7033x - 0.8133x</t>
  </si>
  <si>
    <t>0.5932x - 0.7032x</t>
  </si>
  <si>
    <t>0.4831x - 0.5931x</t>
  </si>
  <si>
    <t>0.3730x - 0.4830x</t>
  </si>
  <si>
    <t>0.1530x - 0.2630x</t>
  </si>
  <si>
    <t>1.0237x - 1.1437x</t>
  </si>
  <si>
    <t>0.9235x - 0.9537x</t>
  </si>
  <si>
    <t>0.9538x - 1.0236x</t>
  </si>
  <si>
    <t>8.1963x - &gt;8.5000x</t>
  </si>
  <si>
    <t>&gt;2.3175x - 2.3012x</t>
  </si>
  <si>
    <t>4.4873x - &gt;4.5000x</t>
  </si>
  <si>
    <t>3.4873x - 3.5000x</t>
  </si>
  <si>
    <t>3.3638x - 3.4872x</t>
  </si>
  <si>
    <t>3.2415x - 3.3637x</t>
  </si>
  <si>
    <t>3.1184x - 3.2414x</t>
  </si>
  <si>
    <t>2.9963x - 3.1183x</t>
  </si>
  <si>
    <t>2.8742x - 2.9962x</t>
  </si>
  <si>
    <t>2.7521x - 2.8741x</t>
  </si>
  <si>
    <t>2.6305x - 2.7520x</t>
  </si>
  <si>
    <t>2.5094x - 2.6304x</t>
  </si>
  <si>
    <t>2.3883x - 2.5093x</t>
  </si>
  <si>
    <t>2.2672x - 2.3882x</t>
  </si>
  <si>
    <t>2.1461x - 2.2671x</t>
  </si>
  <si>
    <t>2.0250x - 2.1460x</t>
  </si>
  <si>
    <t>1.9039x - 2.0249x</t>
  </si>
  <si>
    <t>1.7828x - 1.9038x</t>
  </si>
  <si>
    <t>1.6617x - 1.7827x</t>
  </si>
  <si>
    <t>1.5406x - 1.6616x</t>
  </si>
  <si>
    <t>1.4195x - 1.5405x</t>
  </si>
  <si>
    <t>1.2984x - 1.4194x</t>
  </si>
  <si>
    <t>Below-average coverage</t>
  </si>
  <si>
    <t>1.1773x - 1.2983x</t>
  </si>
  <si>
    <t>Limited repayment capacity</t>
  </si>
  <si>
    <t>1.0562x - 1.1772x</t>
  </si>
  <si>
    <t>Cash flow under pressure</t>
  </si>
  <si>
    <t>0.9351x - 1.0561x</t>
  </si>
  <si>
    <t>Weak coverage ratio</t>
  </si>
  <si>
    <t>0.8140x - 0.9350x</t>
  </si>
  <si>
    <t>Financial strain evident</t>
  </si>
  <si>
    <t>0.6929x - 0.8139x</t>
  </si>
  <si>
    <t>Significant leverage risk</t>
  </si>
  <si>
    <t>0.5718x - 0.6928x</t>
  </si>
  <si>
    <t>0.4507x - 0.5717x</t>
  </si>
  <si>
    <t>0.3296x - 0.4506x</t>
  </si>
  <si>
    <t>0.0000x - 0.3295x</t>
  </si>
  <si>
    <t>3.4873x - &gt;3.5000x</t>
  </si>
  <si>
    <t>&lt;0.0000x - 0.3295x</t>
  </si>
  <si>
    <t>$325 MM – $350 MM</t>
  </si>
  <si>
    <t>Dominant upper-middle-market manufacturer; likely multi-plant operations, national footprint</t>
  </si>
  <si>
    <t>$305 MM – $324 MM</t>
  </si>
  <si>
    <t>Strong upper-middle-market firm; diversified product lines</t>
  </si>
  <si>
    <t>$285 MM – $304 MM</t>
  </si>
  <si>
    <t>Very large regional manufacturer with significant market share</t>
  </si>
  <si>
    <t>$265 MM – $284 MM</t>
  </si>
  <si>
    <t>Upper-tier mid-market; formal management structure, mature systems</t>
  </si>
  <si>
    <t>$245 MM – $264 MM</t>
  </si>
  <si>
    <t>Substantial operation; possibly vertically integrated</t>
  </si>
  <si>
    <t>$225 MM – $244 MM</t>
  </si>
  <si>
    <t>Growing regional manufacturer; strong institutional banking relationships</t>
  </si>
  <si>
    <t>$205 MM – $224 MM</t>
  </si>
  <si>
    <t>Stable middle-market player; multiple facilities or business lines</t>
  </si>
  <si>
    <t>$190 MM – $204 MM</t>
  </si>
  <si>
    <t>Efficient operator with established distribution networks</t>
  </si>
  <si>
    <t>$175 MM – $189 MM</t>
  </si>
  <si>
    <t>Solid core middle-market manufacturer</t>
  </si>
  <si>
    <t>$160 MM – $174 MM</t>
  </si>
  <si>
    <t>Consistent performer; sustainable earnings base</t>
  </si>
  <si>
    <t>$145 MM – $159 MM</t>
  </si>
  <si>
    <t>Strong management, scaling toward larger operations</t>
  </si>
  <si>
    <t>$130 MM – $144 MM</t>
  </si>
  <si>
    <t>Mid-core size; balanced risk and growth potential</t>
  </si>
  <si>
    <t>$120 MM – $129 MM</t>
  </si>
  <si>
    <t>Competitive regional manufacturing presence</t>
  </si>
  <si>
    <t>$110 MM – $119 MM</t>
  </si>
  <si>
    <t>Moderate core middle-market company</t>
  </si>
  <si>
    <t>$100 MM – $109 MM</t>
  </si>
  <si>
    <t>Lower-core mid-market; bankable with modest diversification</t>
  </si>
  <si>
    <t>$90 MM – $99 MM</t>
  </si>
  <si>
    <t>Established firm; room to expand capacity</t>
  </si>
  <si>
    <t>$80 MM – $89 MM</t>
  </si>
  <si>
    <t>Stable but smaller operation; moderate growth trajectory</t>
  </si>
  <si>
    <t>$70 MM – $79 MM</t>
  </si>
  <si>
    <t>Modest size; often single-facility production</t>
  </si>
  <si>
    <t>$60 MM – $69 MM</t>
  </si>
  <si>
    <t>Lower-middle-market manufacturer with local/regional reach</t>
  </si>
  <si>
    <t>$55 MM – $59 MM</t>
  </si>
  <si>
    <t>Consistent niche player; reliant on key customers</t>
  </si>
  <si>
    <t>$50 MM – $54 MM</t>
  </si>
  <si>
    <t>Smaller middle-market company; strong management essential</t>
  </si>
  <si>
    <t>$45 MM – $49 MM</t>
  </si>
  <si>
    <t>Lower scale; often privately held with tight margins</t>
  </si>
  <si>
    <t>$40 MM – $44 MM</t>
  </si>
  <si>
    <t>Early growth stage of middle market; limited diversification</t>
  </si>
  <si>
    <t>$35 MM – $39 MM</t>
  </si>
  <si>
    <t>Sub-middle-market but approaching critical mass</t>
  </si>
  <si>
    <t>$30 MM – $34 MM</t>
  </si>
  <si>
    <t>Small manufacturing operation, potentially family-owned</t>
  </si>
  <si>
    <t>$20 MM – $29 MM</t>
  </si>
  <si>
    <t>Smaller enterprise; capital constraints more evident</t>
  </si>
  <si>
    <t>$15 MM – $19 MM</t>
  </si>
  <si>
    <t>Emerging manufacturer; scaling toward middle-market threshold</t>
  </si>
  <si>
    <t>$10 MM – $14 MM</t>
  </si>
  <si>
    <t>Entry-level middle-market manufacturer; high growth risk</t>
  </si>
  <si>
    <t>Revenue Range (USD)</t>
  </si>
  <si>
    <t xml:space="preserve">Profitability &amp; Scale </t>
  </si>
  <si>
    <t>Weighting Logic</t>
  </si>
  <si>
    <t>Revenue Logic</t>
  </si>
  <si>
    <t>The revenue scale is divided into tiers to capture the different segments of the middle market, ranging from entry-level ($10–50 MM) to core ($50–150 MM) and upper-middle ($150–350 MM). These tiers reflect differences in operational complexity, market reach, and access to capital, with larger firms typically having more diversified revenue streams and stronger bargaining power. While revenue provides context for size and market presence, it is weighted lower because financial health and cash flow metrics are more critical indicators of stability and repayment capacity.</t>
  </si>
  <si>
    <t>This weighting model prioritizes a company’s ability to generate and sustain cash flow, since repayment capacity and debt coverage (DSCR, EBITDA/Interest) are the strongest predictors of credit strength. Leverage ratios (Debt/EBITDA, Debt/TNW, OCF/Debt) are weighted heavily to reflect their importance in assessing long-term solvency and balance sheet resilience. Liquidity measures (Current Ratio, OCF/Current Liabilities) receive elevated emphasis because companies often face working capital volatility tied to inventory and receivables cycles. Profitability and scale (EBIT Margin, Revenue) remain important contextual indicators, but they carry less weight since efficiency and size alone do not ensure financial stability without corresponding cash flow strength.</t>
  </si>
  <si>
    <t>EBIT Margin Logic</t>
  </si>
  <si>
    <t>The EBIT Margin scale ranges from 2.5% (lowest) to 45% (highest) to capture the full spectrum of operational efficiency across companies. Higher margins near 45% indicate exceptional profitability and strong cost control, signaling resilience and a buffer against revenue volatility. Margins near 2.5% reflect thin profitability, highlighting potential vulnerability, and the scale allows for meaningful differentiation while still giving more weight to cash flow and leverage metrics in assessing overall financial health.</t>
  </si>
  <si>
    <t>&lt;0.1530x - 0.2630x</t>
  </si>
  <si>
    <t>DSCR Logic</t>
  </si>
  <si>
    <t>The DSCR scale, ranging from 4.50x (highest) to less than 0.1530x (lowest), measures a company’s ability to generate sufficient cash flow to cover its debt obligations. Higher values near 4.50x indicate strong repayment capacity and a significant safety margin for creditors, while values near 0.000x signal severe stress and potential default risk. This scale is weighted heavily because DSCR is the most direct indicator of a company’s ability to service debt and maintain financial stability.</t>
  </si>
  <si>
    <t>EBITDA / Interest Expense Logic</t>
  </si>
  <si>
    <t>The EBITDA/Interest Expense scale, ranging from 26.25x (highest) to 0.000x (lowest), measures a company’s ability to cover interest payments from operating earnings. Higher values indicate a strong buffer, showing the company can comfortably meet interest obligations even under stress, while values near 0.000x signal insufficient earnings to cover debt costs. This scale is weighted significantly because interest coverage directly reflects near-term financial flexibility and credit risk.</t>
  </si>
  <si>
    <t>Current Ratio Logic</t>
  </si>
  <si>
    <t>The Current Ratio scale, ranging from 2.3175x (highest) to less than 0.6500x (lowest), measures a company’s ability to meet short-term obligations with its current assets. Higher ratios indicate strong liquidity and lower risk of short-term financial distress, while ratios below 0.6500x signal potential cash flow problems and difficulty covering immediate liabilities. This scale carries moderate weight because liquidity is important for operational stability, especially in companies with cyclical or working-capital-intensive operations.</t>
  </si>
  <si>
    <t>OCF Ratio Logic</t>
  </si>
  <si>
    <t>The OCF/Debt ratio scale, ranging from 3.50x (highest) to less than 0.0000x (lowest), measures a company’s ability to generate operating cash flow relative to its total debt. Higher values indicate strong cash generation and a greater capacity to repay debt, while values near 0.0000x signal insufficient cash flow to cover obligations. This scale is weighted heavily because cash flow sufficiency is a direct and reliable indicator of long-term solvency and financial stability.</t>
  </si>
  <si>
    <t>Debt / EBITDA Scale</t>
  </si>
  <si>
    <t>The Debt/TNW scale, spanning 0x (lowest) to 8.5000x (highest), evaluates a company’s indebtedness compared to its tangible net worth, highlighting its financial resilience. Lower ratios suggest a strong equity base and capacity to absorb losses, whereas higher ratios indicate greater leverage and elevated risk. This metric is important because it offers a clear view of long-term solvency and the company’s ability to manage debt under stress.</t>
  </si>
  <si>
    <t>The Debt/EBITDA scale, extending from 0.50x (lowest) to 8.4375x (highest), assesses a company’s debt load in relation to its earnings capacity. Lower ratios reflect conservative leverage and stronger financial flexibility, while higher ratios near 8.4375x suggest substantial debt burden and heightened credit risk. This metric carries considerable weight because a company’s leverage directly influences its ability to meet debt obligations and withstand financial stress.</t>
  </si>
  <si>
    <t>The OCF/Debt scale, spanning 25% down to -5%, gauges how effectively a company’s operating cash flow can service its total debt. Values near the top demonstrate robust cash generation and a strong capacity to pay down liabilities, whereas negative percentages indicate cash shortfalls relative to debt, signaling potential trouble. This measure is considered highly important because it offers a clear picture of long-term financial sustainability and a company’s ability to meet its obligations.</t>
  </si>
  <si>
    <t>Revenue</t>
  </si>
  <si>
    <t>Scorecard Rules</t>
  </si>
  <si>
    <t xml:space="preserve">Data inputs must consist of 12 months of financials either in a FYE or TTM </t>
  </si>
  <si>
    <t>Debt Service Coverage Ratio (DSCR)</t>
  </si>
  <si>
    <t>Negative defaults to 20</t>
  </si>
  <si>
    <t xml:space="preserve">Inputs need to be rounded to the 4th decimal </t>
  </si>
  <si>
    <t>ElCap Rating</t>
  </si>
  <si>
    <t>Elevex's Current Ratio metric refers to "Current Assets / Current Liabilities" Current assets are defined as an asset that is expected to be converted into cash, sold, or consumed within one year (or within the normal operating cycle of a business, whichever is longer). Current liabilities are defined as a company’s short-term financial obligations that are due to be paid within one year (or within the company’s normal operating cycle, whichever is longer).</t>
  </si>
  <si>
    <t>Funded Debt / EBITDA</t>
  </si>
  <si>
    <t>Elevex's EBITDA / Interest Expense is defined as follow: EBITDA is defined as Net Income + Interest + Taxes + Derpreciation + Amortization. Interst Expense is defined as is the cost a company incurs for borrowing money.</t>
  </si>
  <si>
    <t xml:space="preserve">Elevex's Debt / TNW metric refers to "Total Liabilities  / Tang Net Worth" Total liabilities are defined as everything a company owes to outside parties—such as lenders, suppliers, employees, and the government—at a given point in time. Tangible Net worth is defined as everything a company owes to outside parties—such as lenders, suppliers, employees, and the government—at a given point in time.  </t>
  </si>
  <si>
    <t xml:space="preserve">Elevex's Funded Debt  / EBITDA metric refers to "Borrowed Funds / EBITDA" Borrowed funds is defined as Line of credit outstandings + Current portion of long term debt + current portion of finance lease obligations + Long Term Portion of Debt + Long Term Portion of Finance Lease Obligations. EBITDA is defined as Net Income + Interest + Taxes + Derpreciation + Amortization. </t>
  </si>
  <si>
    <t xml:space="preserve">Elevex's OCF Ratio metric refers to "Operating Cash Flow / Current liabilities" Operating cash flow is defined as Net Income + Depreciation + Amortization + Changes in Working Capital. Current liabilities are defined as a company’s short-term financial obligations that are due to be paid within one year (or within the company’s normal operating cycle, whichever is longer). </t>
  </si>
  <si>
    <t>Elevex's EBIT margin is defined as "EBIT / Revenue."  EBIT is defined as Net Income + Interest Expense + Taxes. Revenue is  defined as  the total monetary value of all goods sold and services provided by a business during a  12 month period, before deducting any costs, expenses, or taxes.</t>
  </si>
  <si>
    <t xml:space="preserve">Elevex's Revenue metric refers to the total monetary value of all goods sold and services provided by a business during a  12 month period, before deducting any costs, expenses, or taxes. </t>
  </si>
  <si>
    <t>Elvex's OCF / Metric refers to "Operating Cash Flow / Total Liabilities" Operating cash flow is defined as Net Income + Depreciation + Amortization + Changes in Working Capital. Total Liabilities is defined as  everything a company owes to outside parties—such as lenders, suppliers, employees, and the government—at a given point in time.</t>
  </si>
  <si>
    <t xml:space="preserve">Elevex's Debt Service Coverage Ratio metruc refers to "Total Availability for Debt Service /  Annual Debt Service" Total avilaibility for debt service is defined as Net Income + Depreciation + Interest Expense. Annual Debt Service is defined as Current portion of long term debt + current portion of finace leases + Interest Expense. 
</t>
  </si>
  <si>
    <t>&lt;0.1530</t>
  </si>
  <si>
    <t>&lt;0.6500</t>
  </si>
  <si>
    <t>Column 1</t>
  </si>
  <si>
    <t>Column 2</t>
  </si>
  <si>
    <t>&gt;3.5000</t>
  </si>
  <si>
    <t>&lt;0.0000</t>
  </si>
  <si>
    <t>wtg</t>
  </si>
  <si>
    <t>Financial Metrics</t>
  </si>
  <si>
    <t>Financial Values</t>
  </si>
  <si>
    <t>Combined ElCap Score (Quant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</si>
</sst>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3" formatCode="_(* #,##0.00_);_(* \(#,##0.00\);_(* &quot;-&quot;??_);_(@_)"/>
    <numFmt numFmtId="164" formatCode="0.000000%"/>
    <numFmt numFmtId="165" formatCode="0.0000%"/>
    <numFmt numFmtId="166" formatCode="0.00000%"/>
    <numFmt numFmtId="167" formatCode="0.0%"/>
    <numFmt numFmtId="168" formatCode="0.0000"/>
    <numFmt numFmtId="169" formatCode="0.000"/>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b/>
      <u/>
      <sz val="11"/>
      <color theme="1"/>
      <name val="Aptos Narrow"/>
      <family val="2"/>
      <scheme val="minor"/>
    </font>
    <font>
      <sz val="8"/>
      <name val="Aptos Narrow"/>
      <family val="2"/>
      <scheme val="minor"/>
    </font>
    <font>
      <b/>
      <sz val="11"/>
      <name val="Calibri"/>
      <family val="2"/>
    </font>
    <font>
      <b/>
      <sz val="11"/>
      <name val="Arial"/>
      <family val="2"/>
    </font>
    <font>
      <sz val="8"/>
      <name val="Arial"/>
      <family val="2"/>
    </font>
    <font>
      <b/>
      <sz val="8"/>
      <color indexed="10"/>
      <name val="Arial"/>
      <family val="2"/>
    </font>
    <font>
      <b/>
      <sz val="8"/>
      <name val="Arial"/>
      <family val="2"/>
    </font>
    <font>
      <b/>
      <sz val="8"/>
      <color rgb="FFFF0000"/>
      <name val="Arial"/>
      <family val="2"/>
    </font>
    <font>
      <b/>
      <u/>
      <sz val="14"/>
      <color theme="1"/>
      <name val="Aptos Narrow"/>
      <family val="2"/>
      <scheme val="minor"/>
    </font>
    <font>
      <b/>
      <sz val="11"/>
      <color theme="0"/>
      <name val="Aptos Narrow"/>
      <family val="2"/>
      <scheme val="minor"/>
    </font>
    <font>
      <b/>
      <i/>
      <sz val="11"/>
      <color theme="1"/>
      <name val="Aptos Narrow"/>
      <family val="2"/>
      <scheme val="minor"/>
    </font>
  </fonts>
  <fills count="8">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1"/>
        <bgColor indexed="64"/>
      </patternFill>
    </fill>
    <fill>
      <patternFill patternType="solid">
        <fgColor theme="9" tint="0.79998168889431442"/>
        <bgColor indexed="64"/>
      </patternFill>
    </fill>
    <fill>
      <patternFill patternType="solid">
        <fgColor theme="9"/>
        <bgColor indexed="64"/>
      </patternFill>
    </fill>
    <fill>
      <patternFill patternType="solid">
        <fgColor rgb="FF00206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30">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2" fillId="0" borderId="0" xfId="0" applyFont="1" applyAlignment="1">
      <alignment horizontal="center"/>
    </xf>
    <xf numFmtId="164" fontId="0" fillId="0" borderId="0" xfId="0" applyNumberFormat="1" applyAlignment="1">
      <alignment horizontal="left"/>
    </xf>
    <xf numFmtId="164" fontId="0" fillId="0" borderId="0" xfId="1" applyNumberFormat="1" applyFont="1" applyAlignment="1">
      <alignment horizontal="left"/>
    </xf>
    <xf numFmtId="0" fontId="3" fillId="0" borderId="0" xfId="0" applyFont="1"/>
    <xf numFmtId="0" fontId="0" fillId="0" borderId="0" xfId="0" applyAlignment="1">
      <alignment horizontal="left"/>
    </xf>
    <xf numFmtId="0" fontId="3" fillId="0" borderId="0" xfId="0" applyFont="1" applyAlignment="1">
      <alignment horizontal="left"/>
    </xf>
    <xf numFmtId="164" fontId="0" fillId="0" borderId="1" xfId="1" applyNumberFormat="1" applyFont="1" applyBorder="1" applyAlignment="1">
      <alignment horizontal="left"/>
    </xf>
    <xf numFmtId="164" fontId="0" fillId="0" borderId="0" xfId="0" applyNumberFormat="1" applyAlignment="1">
      <alignment horizontal="center"/>
    </xf>
    <xf numFmtId="9" fontId="0" fillId="0" borderId="0" xfId="1" applyFont="1" applyAlignment="1">
      <alignment horizontal="left"/>
    </xf>
    <xf numFmtId="164" fontId="0" fillId="0" borderId="0" xfId="1" applyNumberFormat="1" applyFont="1" applyBorder="1" applyAlignment="1">
      <alignment horizontal="center"/>
    </xf>
    <xf numFmtId="164" fontId="0" fillId="0" borderId="0" xfId="1" applyNumberFormat="1" applyFont="1" applyBorder="1" applyAlignment="1">
      <alignment horizontal="left"/>
    </xf>
    <xf numFmtId="164" fontId="0" fillId="0" borderId="1" xfId="1" applyNumberFormat="1" applyFont="1" applyBorder="1" applyAlignment="1">
      <alignment horizontal="center"/>
    </xf>
    <xf numFmtId="0" fontId="5" fillId="0" borderId="1" xfId="0" applyFont="1" applyBorder="1" applyAlignment="1">
      <alignment horizontal="center" vertical="top"/>
    </xf>
    <xf numFmtId="0" fontId="7" fillId="0" borderId="0" xfId="0" applyFont="1"/>
    <xf numFmtId="0" fontId="8" fillId="2" borderId="3" xfId="0" applyFont="1" applyFill="1" applyBorder="1" applyAlignment="1">
      <alignment horizontal="center"/>
    </xf>
    <xf numFmtId="0" fontId="7" fillId="0" borderId="0" xfId="0" applyFont="1" applyAlignment="1">
      <alignment horizontal="center"/>
    </xf>
    <xf numFmtId="0" fontId="7" fillId="2" borderId="3" xfId="0" applyFont="1" applyFill="1" applyBorder="1" applyAlignment="1">
      <alignment horizontal="center"/>
    </xf>
    <xf numFmtId="0" fontId="8" fillId="2" borderId="6" xfId="0" applyFont="1" applyFill="1" applyBorder="1" applyAlignment="1">
      <alignment horizontal="center"/>
    </xf>
    <xf numFmtId="0" fontId="9" fillId="2" borderId="3" xfId="0" applyFont="1" applyFill="1" applyBorder="1" applyAlignment="1">
      <alignment horizontal="right"/>
    </xf>
    <xf numFmtId="0" fontId="9" fillId="2" borderId="7" xfId="0" applyFont="1" applyFill="1" applyBorder="1" applyAlignment="1">
      <alignment horizontal="right"/>
    </xf>
    <xf numFmtId="0" fontId="7" fillId="2" borderId="6" xfId="0" applyFont="1" applyFill="1" applyBorder="1" applyAlignment="1">
      <alignment horizontal="center"/>
    </xf>
    <xf numFmtId="0" fontId="9" fillId="2" borderId="8" xfId="0" applyFont="1" applyFill="1" applyBorder="1" applyAlignment="1">
      <alignment horizontal="center"/>
    </xf>
    <xf numFmtId="0" fontId="9" fillId="2" borderId="8" xfId="0" quotePrefix="1" applyFont="1" applyFill="1" applyBorder="1" applyAlignment="1">
      <alignment horizontal="right" wrapText="1"/>
    </xf>
    <xf numFmtId="0" fontId="9" fillId="2" borderId="9" xfId="0" quotePrefix="1" applyFont="1" applyFill="1" applyBorder="1" applyAlignment="1">
      <alignment horizontal="right"/>
    </xf>
    <xf numFmtId="0" fontId="7" fillId="0" borderId="6" xfId="0" applyFont="1" applyBorder="1"/>
    <xf numFmtId="0" fontId="7" fillId="0" borderId="10" xfId="0" applyFont="1" applyBorder="1"/>
    <xf numFmtId="165" fontId="7" fillId="0" borderId="6" xfId="0" applyNumberFormat="1" applyFont="1" applyBorder="1"/>
    <xf numFmtId="165" fontId="7" fillId="0" borderId="10" xfId="1" applyNumberFormat="1" applyFont="1" applyFill="1" applyBorder="1"/>
    <xf numFmtId="165" fontId="7" fillId="0" borderId="6" xfId="1" applyNumberFormat="1" applyFont="1" applyFill="1" applyBorder="1"/>
    <xf numFmtId="0" fontId="7" fillId="0" borderId="8" xfId="0" applyFont="1" applyBorder="1"/>
    <xf numFmtId="165" fontId="7" fillId="0" borderId="8" xfId="1" applyNumberFormat="1" applyFont="1" applyFill="1" applyBorder="1"/>
    <xf numFmtId="10" fontId="7" fillId="0" borderId="9" xfId="0" applyNumberFormat="1" applyFont="1" applyBorder="1" applyAlignment="1">
      <alignment horizontal="right"/>
    </xf>
    <xf numFmtId="0" fontId="11" fillId="0" borderId="0" xfId="0" applyFont="1" applyAlignment="1">
      <alignment vertical="center"/>
    </xf>
    <xf numFmtId="0" fontId="0" fillId="0" borderId="0" xfId="0" applyAlignment="1">
      <alignment vertical="center"/>
    </xf>
    <xf numFmtId="0" fontId="0" fillId="3" borderId="0" xfId="0" applyFill="1" applyAlignment="1">
      <alignment vertical="center"/>
    </xf>
    <xf numFmtId="167" fontId="0" fillId="3" borderId="0" xfId="1" applyNumberFormat="1" applyFont="1" applyFill="1" applyAlignment="1">
      <alignment vertical="center"/>
    </xf>
    <xf numFmtId="0" fontId="0" fillId="3" borderId="0" xfId="0" applyFill="1"/>
    <xf numFmtId="166" fontId="0" fillId="0" borderId="1" xfId="1" applyNumberFormat="1" applyFont="1" applyBorder="1" applyAlignment="1">
      <alignment horizontal="center"/>
    </xf>
    <xf numFmtId="166" fontId="0" fillId="0" borderId="1" xfId="0" applyNumberFormat="1" applyBorder="1" applyAlignment="1">
      <alignment horizontal="center"/>
    </xf>
    <xf numFmtId="0" fontId="0" fillId="0" borderId="4" xfId="0" applyBorder="1"/>
    <xf numFmtId="0" fontId="3" fillId="0" borderId="0" xfId="0" applyFont="1" applyAlignment="1">
      <alignment horizontal="center"/>
    </xf>
    <xf numFmtId="0" fontId="0" fillId="0" borderId="2" xfId="0" applyBorder="1" applyAlignment="1">
      <alignment horizontal="center"/>
    </xf>
    <xf numFmtId="0" fontId="0" fillId="0" borderId="0" xfId="0" applyAlignment="1">
      <alignment vertical="center" wrapText="1"/>
    </xf>
    <xf numFmtId="0" fontId="0" fillId="0" borderId="8" xfId="0" applyBorder="1" applyAlignment="1">
      <alignment horizontal="center"/>
    </xf>
    <xf numFmtId="0" fontId="0" fillId="0" borderId="23" xfId="0" applyBorder="1" applyAlignment="1">
      <alignment horizontal="center"/>
    </xf>
    <xf numFmtId="0" fontId="0" fillId="0" borderId="25"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14"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 fillId="0" borderId="25" xfId="0" applyFont="1" applyBorder="1"/>
    <xf numFmtId="0" fontId="2" fillId="0" borderId="26" xfId="0" applyFont="1" applyBorder="1"/>
    <xf numFmtId="0" fontId="0" fillId="0" borderId="27" xfId="0" applyBorder="1" applyAlignment="1">
      <alignment horizontal="center" vertical="center"/>
    </xf>
    <xf numFmtId="0" fontId="0" fillId="0" borderId="11" xfId="0" applyBorder="1" applyAlignment="1">
      <alignment horizontal="center" vertical="center"/>
    </xf>
    <xf numFmtId="0" fontId="13" fillId="0" borderId="0" xfId="0" applyFont="1"/>
    <xf numFmtId="0" fontId="2" fillId="0" borderId="0" xfId="0" applyFont="1"/>
    <xf numFmtId="0" fontId="2" fillId="0" borderId="11" xfId="0" applyFont="1" applyBorder="1"/>
    <xf numFmtId="9" fontId="0" fillId="0" borderId="0" xfId="0" applyNumberFormat="1"/>
    <xf numFmtId="0" fontId="0" fillId="4" borderId="0" xfId="0" applyFill="1"/>
    <xf numFmtId="0" fontId="2" fillId="0" borderId="12" xfId="0" applyFont="1" applyBorder="1"/>
    <xf numFmtId="0" fontId="0" fillId="0" borderId="30" xfId="0" applyBorder="1"/>
    <xf numFmtId="9" fontId="0" fillId="0" borderId="16" xfId="0" applyNumberFormat="1" applyBorder="1"/>
    <xf numFmtId="0" fontId="0" fillId="4" borderId="18" xfId="0" applyFill="1" applyBorder="1"/>
    <xf numFmtId="0" fontId="2" fillId="0" borderId="29" xfId="0" applyFont="1" applyBorder="1" applyAlignment="1">
      <alignment horizontal="center" vertical="center"/>
    </xf>
    <xf numFmtId="0" fontId="0" fillId="0" borderId="33" xfId="0" applyBorder="1"/>
    <xf numFmtId="0" fontId="0" fillId="4" borderId="26" xfId="0" applyFill="1" applyBorder="1"/>
    <xf numFmtId="9" fontId="0" fillId="0" borderId="31" xfId="0" applyNumberFormat="1" applyBorder="1"/>
    <xf numFmtId="9" fontId="0" fillId="4" borderId="19" xfId="0" applyNumberFormat="1" applyFill="1" applyBorder="1"/>
    <xf numFmtId="0" fontId="2" fillId="0" borderId="17" xfId="0" applyFont="1" applyBorder="1"/>
    <xf numFmtId="168" fontId="0" fillId="0" borderId="15" xfId="0" applyNumberFormat="1" applyBorder="1" applyAlignment="1">
      <alignment horizontal="center" vertical="center"/>
    </xf>
    <xf numFmtId="168" fontId="0" fillId="0" borderId="16" xfId="0" applyNumberFormat="1" applyBorder="1" applyAlignment="1">
      <alignment horizontal="center" vertical="center"/>
    </xf>
    <xf numFmtId="168" fontId="0" fillId="0" borderId="15" xfId="0" applyNumberFormat="1" applyBorder="1" applyAlignment="1">
      <alignment vertical="center"/>
    </xf>
    <xf numFmtId="168" fontId="0" fillId="0" borderId="0" xfId="0" applyNumberFormat="1" applyAlignment="1">
      <alignment vertical="center"/>
    </xf>
    <xf numFmtId="168" fontId="0" fillId="0" borderId="16" xfId="0" applyNumberFormat="1" applyBorder="1" applyAlignment="1">
      <alignment vertical="center"/>
    </xf>
    <xf numFmtId="168" fontId="0" fillId="0" borderId="25" xfId="0" applyNumberFormat="1" applyBorder="1" applyAlignment="1">
      <alignment horizontal="center" vertical="center"/>
    </xf>
    <xf numFmtId="168" fontId="0" fillId="0" borderId="0" xfId="0" applyNumberFormat="1"/>
    <xf numFmtId="0" fontId="2" fillId="5" borderId="25" xfId="0" applyFont="1" applyFill="1" applyBorder="1"/>
    <xf numFmtId="0" fontId="0" fillId="5" borderId="0" xfId="0" applyFill="1"/>
    <xf numFmtId="0" fontId="0" fillId="5" borderId="1" xfId="0" applyFill="1" applyBorder="1" applyAlignment="1">
      <alignment horizontal="center"/>
    </xf>
    <xf numFmtId="168" fontId="0" fillId="0" borderId="18" xfId="0" applyNumberFormat="1" applyBorder="1"/>
    <xf numFmtId="168" fontId="0" fillId="0" borderId="17" xfId="0" applyNumberFormat="1" applyBorder="1"/>
    <xf numFmtId="168" fontId="0" fillId="0" borderId="19" xfId="0" applyNumberFormat="1" applyBorder="1"/>
    <xf numFmtId="168" fontId="0" fillId="0" borderId="33" xfId="0" applyNumberFormat="1" applyBorder="1"/>
    <xf numFmtId="168" fontId="0" fillId="5" borderId="0" xfId="0" applyNumberFormat="1" applyFill="1"/>
    <xf numFmtId="0" fontId="0" fillId="4" borderId="30" xfId="0" applyFill="1" applyBorder="1"/>
    <xf numFmtId="0" fontId="0" fillId="4" borderId="25" xfId="0" applyFill="1" applyBorder="1"/>
    <xf numFmtId="9" fontId="0" fillId="4" borderId="16" xfId="0" applyNumberFormat="1" applyFill="1" applyBorder="1"/>
    <xf numFmtId="165" fontId="0" fillId="0" borderId="18" xfId="1" applyNumberFormat="1" applyFont="1" applyBorder="1"/>
    <xf numFmtId="165" fontId="0" fillId="0" borderId="33" xfId="1" applyNumberFormat="1" applyFont="1" applyFill="1" applyBorder="1"/>
    <xf numFmtId="165" fontId="0" fillId="0" borderId="26" xfId="0" applyNumberFormat="1" applyBorder="1" applyAlignment="1">
      <alignment horizontal="center" vertical="center"/>
    </xf>
    <xf numFmtId="10" fontId="0" fillId="0" borderId="0" xfId="0" applyNumberFormat="1"/>
    <xf numFmtId="165" fontId="0" fillId="0" borderId="17" xfId="1" applyNumberFormat="1" applyFont="1" applyBorder="1"/>
    <xf numFmtId="165" fontId="0" fillId="0" borderId="19" xfId="1" applyNumberFormat="1" applyFont="1" applyBorder="1"/>
    <xf numFmtId="0" fontId="0" fillId="0" borderId="9" xfId="0" applyBorder="1" applyAlignment="1">
      <alignment horizontal="center"/>
    </xf>
    <xf numFmtId="10" fontId="0" fillId="0" borderId="25" xfId="0" applyNumberFormat="1" applyBorder="1" applyAlignment="1">
      <alignment horizontal="center" vertical="center"/>
    </xf>
    <xf numFmtId="10" fontId="0" fillId="5" borderId="0" xfId="0" applyNumberFormat="1" applyFill="1"/>
    <xf numFmtId="0" fontId="2" fillId="0" borderId="0" xfId="0" applyFont="1" applyAlignment="1">
      <alignment horizontal="center" vertical="center" wrapText="1"/>
    </xf>
    <xf numFmtId="0" fontId="2" fillId="0" borderId="0" xfId="0" applyFont="1" applyAlignment="1">
      <alignment vertical="center" wrapText="1"/>
    </xf>
    <xf numFmtId="9" fontId="0" fillId="0" borderId="6" xfId="1" applyFont="1" applyBorder="1" applyAlignment="1">
      <alignment horizontal="center"/>
    </xf>
    <xf numFmtId="9" fontId="0" fillId="0" borderId="0" xfId="1" applyFont="1" applyBorder="1" applyAlignment="1">
      <alignment horizontal="center"/>
    </xf>
    <xf numFmtId="9" fontId="0" fillId="0" borderId="22" xfId="1" applyFont="1" applyBorder="1" applyAlignment="1">
      <alignment horizontal="center"/>
    </xf>
    <xf numFmtId="9" fontId="0" fillId="0" borderId="10" xfId="0" applyNumberFormat="1" applyBorder="1" applyAlignment="1">
      <alignment horizontal="center"/>
    </xf>
    <xf numFmtId="0" fontId="0" fillId="0" borderId="0" xfId="0" applyAlignment="1">
      <alignment horizontal="left" vertical="top" wrapText="1"/>
    </xf>
    <xf numFmtId="0" fontId="0" fillId="0" borderId="0" xfId="0" applyAlignment="1">
      <alignment vertical="top" wrapText="1"/>
    </xf>
    <xf numFmtId="0" fontId="0" fillId="0" borderId="10" xfId="0" applyBorder="1"/>
    <xf numFmtId="0" fontId="0" fillId="0" borderId="4" xfId="0" applyBorder="1" applyAlignment="1">
      <alignment horizontal="center"/>
    </xf>
    <xf numFmtId="0" fontId="0" fillId="0" borderId="5" xfId="0" applyBorder="1"/>
    <xf numFmtId="9" fontId="0" fillId="0" borderId="12" xfId="0" applyNumberFormat="1" applyBorder="1" applyAlignment="1">
      <alignment horizontal="center"/>
    </xf>
    <xf numFmtId="6" fontId="0" fillId="0" borderId="36" xfId="0" applyNumberFormat="1" applyBorder="1"/>
    <xf numFmtId="6" fontId="0" fillId="0" borderId="37" xfId="0" applyNumberFormat="1" applyBorder="1"/>
    <xf numFmtId="6" fontId="0" fillId="0" borderId="38" xfId="0" applyNumberFormat="1" applyBorder="1"/>
    <xf numFmtId="6" fontId="0" fillId="0" borderId="39" xfId="0" applyNumberFormat="1" applyBorder="1"/>
    <xf numFmtId="9" fontId="0" fillId="0" borderId="14" xfId="1" applyFont="1" applyBorder="1" applyAlignment="1">
      <alignment horizontal="center"/>
    </xf>
    <xf numFmtId="165" fontId="0" fillId="0" borderId="36" xfId="0" applyNumberFormat="1" applyBorder="1"/>
    <xf numFmtId="165" fontId="0" fillId="0" borderId="40" xfId="0" applyNumberFormat="1" applyBorder="1"/>
    <xf numFmtId="0" fontId="0" fillId="0" borderId="38" xfId="0" applyBorder="1"/>
    <xf numFmtId="0" fontId="0" fillId="0" borderId="36" xfId="0" applyBorder="1"/>
    <xf numFmtId="0" fontId="0" fillId="0" borderId="37" xfId="0" applyBorder="1"/>
    <xf numFmtId="168" fontId="0" fillId="0" borderId="36" xfId="0" applyNumberFormat="1" applyBorder="1"/>
    <xf numFmtId="168" fontId="0" fillId="0" borderId="37" xfId="0" applyNumberFormat="1" applyBorder="1"/>
    <xf numFmtId="168" fontId="0" fillId="0" borderId="39" xfId="0" applyNumberFormat="1" applyBorder="1"/>
    <xf numFmtId="0" fontId="0" fillId="0" borderId="42" xfId="0" applyBorder="1"/>
    <xf numFmtId="0" fontId="0" fillId="0" borderId="43" xfId="0" applyBorder="1"/>
    <xf numFmtId="9" fontId="0" fillId="0" borderId="13" xfId="1" applyFont="1" applyBorder="1" applyAlignment="1">
      <alignment horizontal="center"/>
    </xf>
    <xf numFmtId="0" fontId="0" fillId="0" borderId="36" xfId="0" applyBorder="1" applyAlignment="1">
      <alignment vertical="center" wrapText="1"/>
    </xf>
    <xf numFmtId="0" fontId="0" fillId="0" borderId="37" xfId="0" applyBorder="1" applyAlignment="1">
      <alignment vertical="center" wrapText="1"/>
    </xf>
    <xf numFmtId="0" fontId="0" fillId="0" borderId="38" xfId="0" applyBorder="1" applyAlignment="1">
      <alignment vertical="center" wrapText="1"/>
    </xf>
    <xf numFmtId="0" fontId="0" fillId="0" borderId="39" xfId="0" applyBorder="1" applyAlignment="1">
      <alignment vertical="center" wrapText="1"/>
    </xf>
    <xf numFmtId="0" fontId="0" fillId="0" borderId="4" xfId="0" applyBorder="1" applyAlignment="1">
      <alignment vertical="center" wrapText="1"/>
    </xf>
    <xf numFmtId="0" fontId="0" fillId="0" borderId="41" xfId="0" applyBorder="1" applyAlignment="1">
      <alignment vertical="center" wrapText="1"/>
    </xf>
    <xf numFmtId="0" fontId="0" fillId="0" borderId="15" xfId="0" applyBorder="1" applyAlignment="1">
      <alignment vertical="center" wrapText="1"/>
    </xf>
    <xf numFmtId="43" fontId="0" fillId="0" borderId="15" xfId="2" applyFont="1" applyBorder="1"/>
    <xf numFmtId="43" fontId="0" fillId="0" borderId="16" xfId="2" applyFont="1" applyBorder="1" applyAlignment="1">
      <alignment vertical="center" wrapText="1"/>
    </xf>
    <xf numFmtId="43" fontId="0" fillId="0" borderId="15" xfId="2" applyFont="1" applyBorder="1" applyAlignment="1">
      <alignment vertical="center" wrapText="1"/>
    </xf>
    <xf numFmtId="43" fontId="0" fillId="0" borderId="17" xfId="2" applyFont="1" applyBorder="1" applyAlignment="1">
      <alignment vertical="center" wrapText="1"/>
    </xf>
    <xf numFmtId="165" fontId="0" fillId="0" borderId="40" xfId="1" applyNumberFormat="1" applyFont="1" applyBorder="1"/>
    <xf numFmtId="10" fontId="0" fillId="0" borderId="38" xfId="0" applyNumberFormat="1" applyBorder="1"/>
    <xf numFmtId="0" fontId="0" fillId="6" borderId="0" xfId="0" applyFill="1"/>
    <xf numFmtId="168" fontId="0" fillId="0" borderId="4" xfId="0" applyNumberFormat="1" applyBorder="1" applyAlignment="1">
      <alignment vertical="center" wrapText="1"/>
    </xf>
    <xf numFmtId="0" fontId="12" fillId="7" borderId="24" xfId="0" applyFont="1" applyFill="1" applyBorder="1"/>
    <xf numFmtId="0" fontId="12" fillId="7" borderId="25" xfId="0" applyFont="1" applyFill="1" applyBorder="1"/>
    <xf numFmtId="0" fontId="12" fillId="7" borderId="26" xfId="0" applyFont="1" applyFill="1" applyBorder="1"/>
    <xf numFmtId="2" fontId="0" fillId="0" borderId="11" xfId="0" applyNumberFormat="1" applyBorder="1"/>
    <xf numFmtId="0" fontId="0" fillId="6" borderId="0" xfId="0" applyFill="1" applyAlignment="1">
      <alignment horizontal="center" vertical="center"/>
    </xf>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12" xfId="0" applyBorder="1"/>
    <xf numFmtId="0" fontId="0" fillId="0" borderId="13" xfId="0" applyBorder="1"/>
    <xf numFmtId="0" fontId="0" fillId="0" borderId="14" xfId="0" applyBorder="1"/>
    <xf numFmtId="0" fontId="0" fillId="0" borderId="27"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4" xfId="0" applyBorder="1" applyAlignment="1">
      <alignment horizontal="center"/>
    </xf>
    <xf numFmtId="0" fontId="0" fillId="0" borderId="2" xfId="0" applyBorder="1" applyAlignment="1">
      <alignment horizontal="center"/>
    </xf>
    <xf numFmtId="9" fontId="0" fillId="0" borderId="12" xfId="1" applyFont="1" applyBorder="1" applyAlignment="1">
      <alignment horizontal="center"/>
    </xf>
    <xf numFmtId="9" fontId="0" fillId="0" borderId="13" xfId="1" applyFont="1" applyBorder="1" applyAlignment="1">
      <alignment horizontal="center"/>
    </xf>
    <xf numFmtId="0" fontId="0" fillId="0" borderId="35" xfId="0" applyBorder="1" applyAlignment="1">
      <alignment horizontal="center"/>
    </xf>
    <xf numFmtId="9" fontId="0" fillId="0" borderId="12" xfId="0" applyNumberFormat="1" applyBorder="1" applyAlignment="1">
      <alignment horizontal="center"/>
    </xf>
    <xf numFmtId="9" fontId="0" fillId="0" borderId="14" xfId="0" applyNumberFormat="1" applyBorder="1" applyAlignment="1">
      <alignment horizontal="center"/>
    </xf>
    <xf numFmtId="9" fontId="0" fillId="0" borderId="15" xfId="1" applyFont="1" applyBorder="1" applyAlignment="1">
      <alignment horizontal="center"/>
    </xf>
    <xf numFmtId="9" fontId="0" fillId="0" borderId="0" xfId="1" applyFont="1" applyBorder="1" applyAlignment="1">
      <alignment horizontal="center"/>
    </xf>
    <xf numFmtId="9" fontId="0" fillId="0" borderId="14" xfId="1" applyFont="1" applyBorder="1" applyAlignment="1">
      <alignment horizontal="center"/>
    </xf>
    <xf numFmtId="0" fontId="3" fillId="0" borderId="0" xfId="0" applyFont="1" applyAlignment="1">
      <alignment horizontal="center"/>
    </xf>
    <xf numFmtId="9" fontId="0" fillId="0" borderId="16" xfId="1" applyFont="1" applyBorder="1" applyAlignment="1">
      <alignment horizontal="center"/>
    </xf>
    <xf numFmtId="0" fontId="0" fillId="0" borderId="3"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vertical="top" wrapText="1"/>
    </xf>
    <xf numFmtId="0" fontId="6" fillId="0" borderId="2" xfId="0" applyFont="1" applyBorder="1" applyAlignment="1">
      <alignment horizontal="center"/>
    </xf>
    <xf numFmtId="0" fontId="8" fillId="2" borderId="4" xfId="0" quotePrefix="1" applyFont="1" applyFill="1" applyBorder="1" applyAlignment="1">
      <alignment horizontal="center"/>
    </xf>
    <xf numFmtId="0" fontId="8" fillId="2" borderId="5" xfId="0" quotePrefix="1" applyFont="1" applyFill="1" applyBorder="1" applyAlignment="1">
      <alignment horizontal="center"/>
    </xf>
    <xf numFmtId="0" fontId="10" fillId="0" borderId="0" xfId="0" quotePrefix="1" applyFont="1" applyAlignment="1">
      <alignment horizontal="center"/>
    </xf>
    <xf numFmtId="0" fontId="0" fillId="0" borderId="0" xfId="0" applyAlignment="1">
      <alignment vertical="center" wrapText="1"/>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32" xfId="0" applyBorder="1" applyAlignment="1">
      <alignment horizontal="center"/>
    </xf>
    <xf numFmtId="0" fontId="0" fillId="0" borderId="31" xfId="0" applyBorder="1" applyAlignment="1">
      <alignment horizont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68" fontId="0" fillId="0" borderId="15" xfId="0" applyNumberFormat="1" applyBorder="1" applyAlignment="1">
      <alignment horizontal="center" vertical="center"/>
    </xf>
    <xf numFmtId="169" fontId="0" fillId="0" borderId="32" xfId="0" applyNumberFormat="1" applyBorder="1" applyAlignment="1">
      <alignment horizontal="center"/>
    </xf>
    <xf numFmtId="169" fontId="0" fillId="0" borderId="20" xfId="0" applyNumberFormat="1" applyBorder="1" applyAlignment="1">
      <alignment horizontal="center"/>
    </xf>
    <xf numFmtId="169" fontId="0" fillId="0" borderId="31" xfId="0" applyNumberFormat="1" applyBorder="1" applyAlignment="1">
      <alignment horizontal="center"/>
    </xf>
    <xf numFmtId="168" fontId="0" fillId="0" borderId="32" xfId="0" applyNumberFormat="1" applyBorder="1" applyAlignment="1">
      <alignment horizontal="center"/>
    </xf>
    <xf numFmtId="168" fontId="0" fillId="0" borderId="20" xfId="0" applyNumberFormat="1" applyBorder="1" applyAlignment="1">
      <alignment horizontal="center"/>
    </xf>
    <xf numFmtId="168" fontId="0" fillId="0" borderId="31" xfId="0" applyNumberFormat="1" applyBorder="1" applyAlignment="1">
      <alignment horizontal="center"/>
    </xf>
    <xf numFmtId="9" fontId="0" fillId="0" borderId="15" xfId="0" applyNumberFormat="1" applyBorder="1" applyAlignment="1">
      <alignment horizontal="center"/>
    </xf>
    <xf numFmtId="0" fontId="0" fillId="4" borderId="12" xfId="0" applyFill="1" applyBorder="1" applyAlignment="1">
      <alignment horizontal="center"/>
    </xf>
    <xf numFmtId="0" fontId="0" fillId="4" borderId="13" xfId="0" applyFill="1" applyBorder="1" applyAlignment="1">
      <alignment horizontal="center"/>
    </xf>
    <xf numFmtId="0" fontId="0" fillId="4" borderId="14" xfId="0" applyFill="1" applyBorder="1" applyAlignment="1">
      <alignment horizontal="center"/>
    </xf>
    <xf numFmtId="165" fontId="0" fillId="0" borderId="32" xfId="1" applyNumberFormat="1" applyFont="1" applyBorder="1" applyAlignment="1">
      <alignment horizontal="center"/>
    </xf>
    <xf numFmtId="165" fontId="0" fillId="0" borderId="20" xfId="1" applyNumberFormat="1" applyFont="1" applyBorder="1" applyAlignment="1">
      <alignment horizontal="center"/>
    </xf>
    <xf numFmtId="165" fontId="0" fillId="0" borderId="31" xfId="1" applyNumberFormat="1" applyFont="1" applyBorder="1" applyAlignment="1">
      <alignment horizontal="center"/>
    </xf>
    <xf numFmtId="0" fontId="0" fillId="4" borderId="15" xfId="0" applyFill="1" applyBorder="1" applyAlignment="1">
      <alignment horizontal="center"/>
    </xf>
    <xf numFmtId="0" fontId="0" fillId="4" borderId="0" xfId="0" applyFill="1" applyAlignment="1">
      <alignment horizontal="center"/>
    </xf>
    <xf numFmtId="0" fontId="0" fillId="4" borderId="16" xfId="0" applyFill="1" applyBorder="1" applyAlignment="1">
      <alignment horizontal="center"/>
    </xf>
    <xf numFmtId="9" fontId="0" fillId="4" borderId="15" xfId="0" applyNumberFormat="1" applyFill="1" applyBorder="1" applyAlignment="1">
      <alignment horizontal="center"/>
    </xf>
    <xf numFmtId="168" fontId="0" fillId="0" borderId="0" xfId="0" applyNumberFormat="1" applyAlignment="1">
      <alignment horizontal="center" vertical="center"/>
    </xf>
    <xf numFmtId="168" fontId="0" fillId="0" borderId="16" xfId="0" applyNumberFormat="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BFC91.68086640"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1.png@01DBFC91.6808664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18</xdr:col>
      <xdr:colOff>0</xdr:colOff>
      <xdr:row>4</xdr:row>
      <xdr:rowOff>0</xdr:rowOff>
    </xdr:from>
    <xdr:to>
      <xdr:col>27</xdr:col>
      <xdr:colOff>361950</xdr:colOff>
      <xdr:row>24</xdr:row>
      <xdr:rowOff>133350</xdr:rowOff>
    </xdr:to>
    <xdr:pic>
      <xdr:nvPicPr>
        <xdr:cNvPr id="4" name="Picture 3">
          <a:extLst>
            <a:ext uri="{FF2B5EF4-FFF2-40B4-BE49-F238E27FC236}">
              <a16:creationId xmlns:a16="http://schemas.microsoft.com/office/drawing/2014/main" id="{D0ACD7AA-E297-4608-A469-E033C3F977C7}"/>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3201650" y="762000"/>
          <a:ext cx="5848350"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3</xdr:row>
      <xdr:rowOff>0</xdr:rowOff>
    </xdr:from>
    <xdr:to>
      <xdr:col>31</xdr:col>
      <xdr:colOff>361950</xdr:colOff>
      <xdr:row>22</xdr:row>
      <xdr:rowOff>123825</xdr:rowOff>
    </xdr:to>
    <xdr:pic>
      <xdr:nvPicPr>
        <xdr:cNvPr id="5" name="Picture 4">
          <a:extLst>
            <a:ext uri="{FF2B5EF4-FFF2-40B4-BE49-F238E27FC236}">
              <a16:creationId xmlns:a16="http://schemas.microsoft.com/office/drawing/2014/main" id="{869649B1-AE17-4C60-AB49-998BD890AA1A}"/>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6011525" y="666750"/>
          <a:ext cx="5848350"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A888-6F75-42A8-AF22-0A3F96C42909}">
  <sheetPr codeName="Sheet1"/>
  <dimension ref="A1:R90"/>
  <sheetViews>
    <sheetView zoomScaleNormal="100" workbookViewId="0">
      <selection activeCell="D15" sqref="D15"/>
    </sheetView>
  </sheetViews>
  <sheetFormatPr baseColWidth="10" defaultColWidth="8.83203125" defaultRowHeight="15" x14ac:dyDescent="0.2"/>
  <cols>
    <col min="2" max="2" width="9.1640625" style="1"/>
    <col min="3" max="3" width="10.1640625" style="1" bestFit="1" customWidth="1"/>
    <col min="4" max="4" width="10.5" customWidth="1"/>
    <col min="5" max="5" width="11.5" bestFit="1" customWidth="1"/>
    <col min="6" max="6" width="17.33203125" bestFit="1" customWidth="1"/>
    <col min="7" max="7" width="17.33203125" customWidth="1"/>
    <col min="8" max="8" width="16" bestFit="1" customWidth="1"/>
    <col min="9" max="9" width="18.5" bestFit="1" customWidth="1"/>
    <col min="10" max="11" width="16" bestFit="1" customWidth="1"/>
    <col min="12" max="13" width="20" bestFit="1" customWidth="1"/>
    <col min="14" max="14" width="20.5" bestFit="1" customWidth="1"/>
  </cols>
  <sheetData>
    <row r="1" spans="1:18" x14ac:dyDescent="0.2">
      <c r="A1" s="7" t="s">
        <v>28</v>
      </c>
    </row>
    <row r="2" spans="1:18" x14ac:dyDescent="0.2">
      <c r="F2" s="72">
        <f>SUM(F4:G4)</f>
        <v>0.15000000000000002</v>
      </c>
      <c r="G2" s="72"/>
      <c r="H2" s="72">
        <f>SUM(H4:I4)</f>
        <v>0.31</v>
      </c>
      <c r="J2" s="72">
        <f>SUM(J4:K4)</f>
        <v>0.16999999999999998</v>
      </c>
      <c r="L2" s="72">
        <f>SUM(L4:N4)</f>
        <v>0.37</v>
      </c>
    </row>
    <row r="3" spans="1:18" x14ac:dyDescent="0.2">
      <c r="F3" s="180" t="s">
        <v>741</v>
      </c>
      <c r="G3" s="181"/>
      <c r="H3" s="180" t="s">
        <v>107</v>
      </c>
      <c r="I3" s="181"/>
      <c r="J3" s="180" t="s">
        <v>108</v>
      </c>
      <c r="K3" s="181"/>
      <c r="L3" s="180" t="s">
        <v>109</v>
      </c>
      <c r="M3" s="182"/>
      <c r="N3" s="181"/>
    </row>
    <row r="4" spans="1:18" x14ac:dyDescent="0.2">
      <c r="A4" s="178" t="s">
        <v>24</v>
      </c>
      <c r="B4" s="178"/>
      <c r="C4" s="178" t="s">
        <v>25</v>
      </c>
      <c r="D4" s="178"/>
      <c r="E4" s="178"/>
      <c r="F4" s="116">
        <v>7.0000000000000007E-2</v>
      </c>
      <c r="G4" s="114">
        <v>0.08</v>
      </c>
      <c r="H4" s="113">
        <v>0.2</v>
      </c>
      <c r="I4" s="115">
        <v>0.11</v>
      </c>
      <c r="J4" s="113">
        <v>0.09</v>
      </c>
      <c r="K4" s="115">
        <v>0.08</v>
      </c>
      <c r="L4" s="113">
        <v>0.14000000000000001</v>
      </c>
      <c r="M4" s="114">
        <v>0.11</v>
      </c>
      <c r="N4" s="115">
        <v>0.12</v>
      </c>
      <c r="O4" s="105">
        <f>SUM(F4:N4)</f>
        <v>1</v>
      </c>
      <c r="R4" s="70" t="s">
        <v>762</v>
      </c>
    </row>
    <row r="5" spans="1:18" s="1" customFormat="1" x14ac:dyDescent="0.2">
      <c r="A5" s="4" t="s">
        <v>20</v>
      </c>
      <c r="B5" s="4" t="s">
        <v>21</v>
      </c>
      <c r="C5" s="4" t="s">
        <v>22</v>
      </c>
      <c r="D5" s="4" t="s">
        <v>40</v>
      </c>
      <c r="E5" s="4" t="s">
        <v>23</v>
      </c>
      <c r="F5" s="108" t="s">
        <v>145</v>
      </c>
      <c r="G5" s="45" t="s">
        <v>290</v>
      </c>
      <c r="H5" s="47" t="s">
        <v>112</v>
      </c>
      <c r="I5" s="48" t="s">
        <v>113</v>
      </c>
      <c r="J5" s="47" t="s">
        <v>110</v>
      </c>
      <c r="K5" s="48" t="s">
        <v>111</v>
      </c>
      <c r="L5" s="47" t="s">
        <v>769</v>
      </c>
      <c r="M5" s="45" t="s">
        <v>115</v>
      </c>
      <c r="N5" s="48" t="s">
        <v>116</v>
      </c>
    </row>
    <row r="6" spans="1:18" x14ac:dyDescent="0.2">
      <c r="A6" s="2" t="s">
        <v>0</v>
      </c>
      <c r="B6" s="2">
        <v>1</v>
      </c>
      <c r="D6" s="5">
        <v>9.2999999999999997E-5</v>
      </c>
      <c r="E6" s="5">
        <v>1.85E-4</v>
      </c>
      <c r="F6" s="3" t="s">
        <v>684</v>
      </c>
      <c r="G6" s="3" t="s">
        <v>358</v>
      </c>
      <c r="H6" s="3" t="s">
        <v>647</v>
      </c>
      <c r="I6" s="3" t="s">
        <v>231</v>
      </c>
      <c r="J6" s="3" t="s">
        <v>646</v>
      </c>
      <c r="K6" s="3" t="s">
        <v>682</v>
      </c>
      <c r="L6" s="3" t="s">
        <v>135</v>
      </c>
      <c r="M6" s="3" t="s">
        <v>535</v>
      </c>
      <c r="N6" s="3" t="s">
        <v>416</v>
      </c>
      <c r="R6" t="s">
        <v>763</v>
      </c>
    </row>
    <row r="7" spans="1:18" x14ac:dyDescent="0.2">
      <c r="A7" s="2" t="s">
        <v>1</v>
      </c>
      <c r="B7" s="2">
        <v>2</v>
      </c>
      <c r="D7" s="5">
        <v>2.4699999999999999E-4</v>
      </c>
      <c r="E7" s="5">
        <v>3.0800000000000001E-4</v>
      </c>
      <c r="F7" s="3" t="s">
        <v>686</v>
      </c>
      <c r="G7" s="3" t="s">
        <v>332</v>
      </c>
      <c r="H7" s="3" t="s">
        <v>592</v>
      </c>
      <c r="I7" s="3" t="s">
        <v>239</v>
      </c>
      <c r="J7" s="3" t="s">
        <v>506</v>
      </c>
      <c r="K7" s="3" t="s">
        <v>649</v>
      </c>
      <c r="L7" s="3" t="s">
        <v>385</v>
      </c>
      <c r="M7" s="3" t="s">
        <v>562</v>
      </c>
      <c r="N7" s="3" t="s">
        <v>417</v>
      </c>
    </row>
    <row r="8" spans="1:18" x14ac:dyDescent="0.2">
      <c r="A8" s="2" t="s">
        <v>2</v>
      </c>
      <c r="B8" s="2">
        <v>3</v>
      </c>
      <c r="D8" s="6">
        <v>4.1199999999999999E-4</v>
      </c>
      <c r="E8" s="6">
        <v>5.1400000000000003E-4</v>
      </c>
      <c r="F8" s="3" t="s">
        <v>688</v>
      </c>
      <c r="G8" s="3" t="s">
        <v>333</v>
      </c>
      <c r="H8" s="3" t="s">
        <v>594</v>
      </c>
      <c r="I8" s="3" t="s">
        <v>359</v>
      </c>
      <c r="J8" s="3" t="s">
        <v>507</v>
      </c>
      <c r="K8" s="3" t="s">
        <v>650</v>
      </c>
      <c r="L8" s="3" t="s">
        <v>386</v>
      </c>
      <c r="M8" s="3" t="s">
        <v>563</v>
      </c>
      <c r="N8" s="3" t="s">
        <v>449</v>
      </c>
      <c r="R8" t="s">
        <v>766</v>
      </c>
    </row>
    <row r="9" spans="1:18" x14ac:dyDescent="0.2">
      <c r="A9" s="2" t="s">
        <v>3</v>
      </c>
      <c r="B9" s="2">
        <v>4</v>
      </c>
      <c r="D9" s="6">
        <v>6.8599999999999998E-4</v>
      </c>
      <c r="E9" s="6">
        <v>8.5700000000000001E-4</v>
      </c>
      <c r="F9" s="3" t="s">
        <v>690</v>
      </c>
      <c r="G9" s="3" t="s">
        <v>334</v>
      </c>
      <c r="H9" s="3" t="s">
        <v>596</v>
      </c>
      <c r="I9" s="3" t="s">
        <v>360</v>
      </c>
      <c r="J9" s="3" t="s">
        <v>508</v>
      </c>
      <c r="K9" s="3" t="s">
        <v>651</v>
      </c>
      <c r="L9" s="3" t="s">
        <v>387</v>
      </c>
      <c r="M9" s="3" t="s">
        <v>564</v>
      </c>
      <c r="N9" s="3" t="s">
        <v>450</v>
      </c>
    </row>
    <row r="10" spans="1:18" x14ac:dyDescent="0.2">
      <c r="A10" s="2" t="s">
        <v>4</v>
      </c>
      <c r="B10" s="2">
        <v>5</v>
      </c>
      <c r="D10" s="6">
        <v>1.1429999999999999E-3</v>
      </c>
      <c r="E10" s="6">
        <v>1.428E-3</v>
      </c>
      <c r="F10" s="3" t="s">
        <v>692</v>
      </c>
      <c r="G10" s="3" t="s">
        <v>335</v>
      </c>
      <c r="H10" s="3" t="s">
        <v>598</v>
      </c>
      <c r="I10" s="3" t="s">
        <v>361</v>
      </c>
      <c r="J10" s="3" t="s">
        <v>509</v>
      </c>
      <c r="K10" s="3" t="s">
        <v>652</v>
      </c>
      <c r="L10" s="3" t="s">
        <v>388</v>
      </c>
      <c r="M10" s="3" t="s">
        <v>565</v>
      </c>
      <c r="N10" s="3" t="s">
        <v>451</v>
      </c>
    </row>
    <row r="11" spans="1:18" x14ac:dyDescent="0.2">
      <c r="A11" s="2" t="s">
        <v>5</v>
      </c>
      <c r="B11" s="2">
        <v>6</v>
      </c>
      <c r="D11" s="6">
        <v>1.6070000000000001E-3</v>
      </c>
      <c r="E11" s="6">
        <v>1.7849999999999999E-3</v>
      </c>
      <c r="F11" s="3" t="s">
        <v>694</v>
      </c>
      <c r="G11" s="3" t="s">
        <v>336</v>
      </c>
      <c r="H11" s="3" t="s">
        <v>600</v>
      </c>
      <c r="I11" s="3" t="s">
        <v>362</v>
      </c>
      <c r="J11" s="3" t="s">
        <v>510</v>
      </c>
      <c r="K11" s="3" t="s">
        <v>653</v>
      </c>
      <c r="L11" s="3" t="s">
        <v>384</v>
      </c>
      <c r="M11" s="3" t="s">
        <v>566</v>
      </c>
      <c r="N11" s="3" t="s">
        <v>452</v>
      </c>
    </row>
    <row r="12" spans="1:18" x14ac:dyDescent="0.2">
      <c r="A12" s="2" t="s">
        <v>6</v>
      </c>
      <c r="B12" s="2">
        <v>7</v>
      </c>
      <c r="D12" s="6">
        <v>2.0089999999999999E-3</v>
      </c>
      <c r="E12" s="6">
        <v>2.2309999999999999E-3</v>
      </c>
      <c r="F12" s="3" t="s">
        <v>696</v>
      </c>
      <c r="G12" s="3" t="s">
        <v>337</v>
      </c>
      <c r="H12" s="3" t="s">
        <v>602</v>
      </c>
      <c r="I12" s="3" t="s">
        <v>363</v>
      </c>
      <c r="J12" s="3" t="s">
        <v>511</v>
      </c>
      <c r="K12" s="3" t="s">
        <v>654</v>
      </c>
      <c r="L12" s="3" t="s">
        <v>389</v>
      </c>
      <c r="M12" s="3" t="s">
        <v>567</v>
      </c>
      <c r="N12" s="3" t="s">
        <v>453</v>
      </c>
    </row>
    <row r="13" spans="1:18" x14ac:dyDescent="0.2">
      <c r="A13" s="2" t="s">
        <v>7</v>
      </c>
      <c r="B13" s="2">
        <v>8</v>
      </c>
      <c r="D13" s="6">
        <v>2.5109999999999998E-3</v>
      </c>
      <c r="E13" s="6">
        <v>2.7889999999999998E-3</v>
      </c>
      <c r="F13" s="3" t="s">
        <v>698</v>
      </c>
      <c r="G13" s="3" t="s">
        <v>338</v>
      </c>
      <c r="H13" s="3" t="s">
        <v>604</v>
      </c>
      <c r="I13" s="3" t="s">
        <v>364</v>
      </c>
      <c r="J13" s="3" t="s">
        <v>512</v>
      </c>
      <c r="K13" s="3" t="s">
        <v>655</v>
      </c>
      <c r="L13" s="3" t="s">
        <v>390</v>
      </c>
      <c r="M13" s="3" t="s">
        <v>568</v>
      </c>
      <c r="N13" s="3" t="s">
        <v>454</v>
      </c>
    </row>
    <row r="14" spans="1:18" x14ac:dyDescent="0.2">
      <c r="A14" s="2" t="s">
        <v>8</v>
      </c>
      <c r="B14" s="2">
        <v>9</v>
      </c>
      <c r="D14" s="6">
        <v>3.5399999999999997E-3</v>
      </c>
      <c r="E14" s="6">
        <v>4.2899999999999995E-3</v>
      </c>
      <c r="F14" s="3" t="s">
        <v>700</v>
      </c>
      <c r="G14" s="3" t="s">
        <v>339</v>
      </c>
      <c r="H14" s="3" t="s">
        <v>606</v>
      </c>
      <c r="I14" s="3" t="s">
        <v>365</v>
      </c>
      <c r="J14" s="3" t="s">
        <v>513</v>
      </c>
      <c r="K14" s="3" t="s">
        <v>656</v>
      </c>
      <c r="L14" s="3" t="s">
        <v>391</v>
      </c>
      <c r="M14" s="3" t="s">
        <v>569</v>
      </c>
      <c r="N14" s="3" t="s">
        <v>455</v>
      </c>
    </row>
    <row r="15" spans="1:18" x14ac:dyDescent="0.2">
      <c r="A15" s="2" t="s">
        <v>9</v>
      </c>
      <c r="B15" s="2">
        <v>10</v>
      </c>
      <c r="D15" s="6">
        <v>5.3460000000000001E-3</v>
      </c>
      <c r="E15" s="6">
        <v>6.4000000000000003E-3</v>
      </c>
      <c r="F15" s="3" t="s">
        <v>702</v>
      </c>
      <c r="G15" s="3" t="s">
        <v>340</v>
      </c>
      <c r="H15" s="3" t="s">
        <v>608</v>
      </c>
      <c r="I15" s="3" t="s">
        <v>366</v>
      </c>
      <c r="J15" s="3" t="s">
        <v>514</v>
      </c>
      <c r="K15" s="3" t="s">
        <v>657</v>
      </c>
      <c r="L15" s="3" t="s">
        <v>392</v>
      </c>
      <c r="M15" s="3" t="s">
        <v>570</v>
      </c>
      <c r="N15" s="3" t="s">
        <v>456</v>
      </c>
    </row>
    <row r="16" spans="1:18" x14ac:dyDescent="0.2">
      <c r="A16" s="2" t="s">
        <v>10</v>
      </c>
      <c r="B16" s="2">
        <v>11</v>
      </c>
      <c r="D16" s="6">
        <v>8.7010000000000004E-3</v>
      </c>
      <c r="E16" s="6">
        <v>1.1000000000000001E-2</v>
      </c>
      <c r="F16" s="3" t="s">
        <v>704</v>
      </c>
      <c r="G16" s="3" t="s">
        <v>341</v>
      </c>
      <c r="H16" s="3" t="s">
        <v>610</v>
      </c>
      <c r="I16" s="3" t="s">
        <v>367</v>
      </c>
      <c r="J16" s="3" t="s">
        <v>515</v>
      </c>
      <c r="K16" s="3" t="s">
        <v>658</v>
      </c>
      <c r="L16" s="3" t="s">
        <v>393</v>
      </c>
      <c r="M16" s="3" t="s">
        <v>571</v>
      </c>
      <c r="N16" s="3" t="s">
        <v>457</v>
      </c>
    </row>
    <row r="17" spans="1:14" x14ac:dyDescent="0.2">
      <c r="A17" s="2" t="s">
        <v>11</v>
      </c>
      <c r="B17" s="2">
        <v>12</v>
      </c>
      <c r="D17" s="6">
        <v>1.3750999999999999E-2</v>
      </c>
      <c r="E17" s="6">
        <v>1.6500000000000001E-2</v>
      </c>
      <c r="F17" s="3" t="s">
        <v>706</v>
      </c>
      <c r="G17" s="3" t="s">
        <v>342</v>
      </c>
      <c r="H17" s="3" t="s">
        <v>612</v>
      </c>
      <c r="I17" s="3" t="s">
        <v>368</v>
      </c>
      <c r="J17" s="3" t="s">
        <v>516</v>
      </c>
      <c r="K17" s="3" t="s">
        <v>659</v>
      </c>
      <c r="L17" s="3" t="s">
        <v>394</v>
      </c>
      <c r="M17" s="3" t="s">
        <v>572</v>
      </c>
      <c r="N17" s="3" t="s">
        <v>458</v>
      </c>
    </row>
    <row r="18" spans="1:14" x14ac:dyDescent="0.2">
      <c r="A18" s="2" t="s">
        <v>12</v>
      </c>
      <c r="B18" s="2">
        <v>13.1</v>
      </c>
      <c r="C18" s="6">
        <v>1.6500009999999999E-2</v>
      </c>
      <c r="E18" s="11"/>
      <c r="F18" s="3" t="s">
        <v>708</v>
      </c>
      <c r="G18" s="3" t="s">
        <v>343</v>
      </c>
      <c r="H18" s="3" t="s">
        <v>625</v>
      </c>
      <c r="I18" s="3" t="s">
        <v>369</v>
      </c>
      <c r="J18" s="3" t="s">
        <v>517</v>
      </c>
      <c r="K18" s="3" t="s">
        <v>660</v>
      </c>
      <c r="L18" s="3" t="s">
        <v>395</v>
      </c>
      <c r="M18" s="3" t="s">
        <v>573</v>
      </c>
      <c r="N18" s="3" t="s">
        <v>459</v>
      </c>
    </row>
    <row r="19" spans="1:14" x14ac:dyDescent="0.2">
      <c r="A19" s="2"/>
      <c r="B19" s="2">
        <v>13.2</v>
      </c>
      <c r="D19" s="6">
        <v>2.0626000000000002E-2</v>
      </c>
      <c r="E19" s="12"/>
      <c r="F19" s="3" t="s">
        <v>710</v>
      </c>
      <c r="G19" s="3" t="s">
        <v>344</v>
      </c>
      <c r="H19" s="3" t="s">
        <v>626</v>
      </c>
      <c r="I19" s="3" t="s">
        <v>370</v>
      </c>
      <c r="J19" s="3" t="s">
        <v>518</v>
      </c>
      <c r="K19" s="3" t="s">
        <v>661</v>
      </c>
      <c r="L19" s="3" t="s">
        <v>396</v>
      </c>
      <c r="M19" s="3" t="s">
        <v>574</v>
      </c>
      <c r="N19" s="3" t="s">
        <v>460</v>
      </c>
    </row>
    <row r="20" spans="1:14" x14ac:dyDescent="0.2">
      <c r="A20" s="2"/>
      <c r="B20" s="2">
        <v>13.3</v>
      </c>
      <c r="D20" s="6"/>
      <c r="E20" s="6">
        <v>2.4750000000000001E-2</v>
      </c>
      <c r="F20" s="3" t="s">
        <v>712</v>
      </c>
      <c r="G20" s="3" t="s">
        <v>345</v>
      </c>
      <c r="H20" s="3" t="s">
        <v>628</v>
      </c>
      <c r="I20" s="3" t="s">
        <v>371</v>
      </c>
      <c r="J20" s="3" t="s">
        <v>519</v>
      </c>
      <c r="K20" s="3" t="s">
        <v>662</v>
      </c>
      <c r="L20" s="3" t="s">
        <v>397</v>
      </c>
      <c r="M20" s="3" t="s">
        <v>575</v>
      </c>
      <c r="N20" s="3" t="s">
        <v>461</v>
      </c>
    </row>
    <row r="21" spans="1:14" x14ac:dyDescent="0.2">
      <c r="A21" s="2" t="s">
        <v>13</v>
      </c>
      <c r="B21" s="2">
        <v>14.1</v>
      </c>
      <c r="C21" s="13">
        <v>2.4750009999999999E-2</v>
      </c>
      <c r="F21" s="3" t="s">
        <v>714</v>
      </c>
      <c r="G21" s="3" t="s">
        <v>346</v>
      </c>
      <c r="H21" s="3" t="s">
        <v>629</v>
      </c>
      <c r="I21" s="3" t="s">
        <v>372</v>
      </c>
      <c r="J21" s="3" t="s">
        <v>520</v>
      </c>
      <c r="K21" s="3" t="s">
        <v>663</v>
      </c>
      <c r="L21" s="3" t="s">
        <v>398</v>
      </c>
      <c r="M21" s="3" t="s">
        <v>576</v>
      </c>
      <c r="N21" s="3" t="s">
        <v>462</v>
      </c>
    </row>
    <row r="22" spans="1:14" x14ac:dyDescent="0.2">
      <c r="A22" s="2"/>
      <c r="B22" s="2">
        <v>14.2</v>
      </c>
      <c r="D22" s="6">
        <v>3.0938E-2</v>
      </c>
      <c r="E22" s="6"/>
      <c r="F22" s="3" t="s">
        <v>716</v>
      </c>
      <c r="G22" s="3" t="s">
        <v>347</v>
      </c>
      <c r="H22" s="3" t="s">
        <v>630</v>
      </c>
      <c r="I22" s="3" t="s">
        <v>373</v>
      </c>
      <c r="J22" s="3" t="s">
        <v>521</v>
      </c>
      <c r="K22" s="3" t="s">
        <v>664</v>
      </c>
      <c r="L22" s="3" t="s">
        <v>399</v>
      </c>
      <c r="M22" s="3" t="s">
        <v>577</v>
      </c>
      <c r="N22" s="3" t="s">
        <v>463</v>
      </c>
    </row>
    <row r="23" spans="1:14" x14ac:dyDescent="0.2">
      <c r="A23" s="2"/>
      <c r="B23" s="2">
        <v>14.3</v>
      </c>
      <c r="D23" s="6"/>
      <c r="E23" s="6">
        <v>3.7124999999999998E-2</v>
      </c>
      <c r="F23" s="3" t="s">
        <v>718</v>
      </c>
      <c r="G23" s="3" t="s">
        <v>348</v>
      </c>
      <c r="H23" s="3" t="s">
        <v>631</v>
      </c>
      <c r="I23" s="3" t="s">
        <v>374</v>
      </c>
      <c r="J23" s="3" t="s">
        <v>522</v>
      </c>
      <c r="K23" s="3" t="s">
        <v>665</v>
      </c>
      <c r="L23" s="3" t="s">
        <v>400</v>
      </c>
      <c r="M23" s="3" t="s">
        <v>578</v>
      </c>
      <c r="N23" s="3" t="s">
        <v>464</v>
      </c>
    </row>
    <row r="24" spans="1:14" x14ac:dyDescent="0.2">
      <c r="A24" s="2" t="s">
        <v>14</v>
      </c>
      <c r="B24" s="2">
        <v>15.1</v>
      </c>
      <c r="C24" s="13">
        <v>3.712501E-2</v>
      </c>
      <c r="F24" s="3" t="s">
        <v>720</v>
      </c>
      <c r="G24" s="3" t="s">
        <v>349</v>
      </c>
      <c r="H24" s="3" t="s">
        <v>642</v>
      </c>
      <c r="I24" s="3" t="s">
        <v>375</v>
      </c>
      <c r="J24" s="3" t="s">
        <v>523</v>
      </c>
      <c r="K24" s="3" t="s">
        <v>666</v>
      </c>
      <c r="L24" s="3" t="s">
        <v>401</v>
      </c>
      <c r="M24" s="3" t="s">
        <v>579</v>
      </c>
      <c r="N24" s="3" t="s">
        <v>465</v>
      </c>
    </row>
    <row r="25" spans="1:14" x14ac:dyDescent="0.2">
      <c r="A25" s="2"/>
      <c r="B25" s="2">
        <v>15.2</v>
      </c>
      <c r="D25" s="6">
        <v>3.1726000000000004E-2</v>
      </c>
      <c r="E25" s="6"/>
      <c r="F25" s="3" t="s">
        <v>722</v>
      </c>
      <c r="G25" s="3" t="s">
        <v>350</v>
      </c>
      <c r="H25" s="3" t="s">
        <v>644</v>
      </c>
      <c r="I25" s="3" t="s">
        <v>376</v>
      </c>
      <c r="J25" s="3" t="s">
        <v>524</v>
      </c>
      <c r="K25" s="3" t="s">
        <v>668</v>
      </c>
      <c r="L25" s="3" t="s">
        <v>402</v>
      </c>
      <c r="M25" s="3" t="s">
        <v>580</v>
      </c>
      <c r="N25" s="3" t="s">
        <v>466</v>
      </c>
    </row>
    <row r="26" spans="1:14" x14ac:dyDescent="0.2">
      <c r="A26" s="2"/>
      <c r="B26" s="2">
        <v>15.3</v>
      </c>
      <c r="D26" s="6"/>
      <c r="E26" s="6">
        <v>5.5688000000000001E-2</v>
      </c>
      <c r="F26" s="3" t="s">
        <v>724</v>
      </c>
      <c r="G26" s="3" t="s">
        <v>351</v>
      </c>
      <c r="H26" s="3" t="s">
        <v>643</v>
      </c>
      <c r="I26" s="3" t="s">
        <v>377</v>
      </c>
      <c r="J26" s="3" t="s">
        <v>525</v>
      </c>
      <c r="K26" s="3" t="s">
        <v>670</v>
      </c>
      <c r="L26" s="3" t="s">
        <v>403</v>
      </c>
      <c r="M26" s="3" t="s">
        <v>581</v>
      </c>
      <c r="N26" s="3" t="s">
        <v>467</v>
      </c>
    </row>
    <row r="27" spans="1:14" x14ac:dyDescent="0.2">
      <c r="A27" s="2" t="s">
        <v>15</v>
      </c>
      <c r="B27" s="2">
        <v>16.100000000000001</v>
      </c>
      <c r="C27" s="13">
        <v>5.5688010000000003E-2</v>
      </c>
      <c r="F27" s="3" t="s">
        <v>726</v>
      </c>
      <c r="G27" s="3" t="s">
        <v>352</v>
      </c>
      <c r="H27" s="3" t="s">
        <v>636</v>
      </c>
      <c r="I27" s="3" t="s">
        <v>378</v>
      </c>
      <c r="J27" s="3" t="s">
        <v>526</v>
      </c>
      <c r="K27" s="3" t="s">
        <v>672</v>
      </c>
      <c r="L27" s="3" t="s">
        <v>404</v>
      </c>
      <c r="M27" s="3" t="s">
        <v>582</v>
      </c>
      <c r="N27" s="3" t="s">
        <v>468</v>
      </c>
    </row>
    <row r="28" spans="1:14" x14ac:dyDescent="0.2">
      <c r="A28" s="2"/>
      <c r="B28" s="2">
        <v>16.2</v>
      </c>
      <c r="D28" s="6">
        <v>5.5689000000000002E-2</v>
      </c>
      <c r="E28" s="6"/>
      <c r="F28" s="3" t="s">
        <v>728</v>
      </c>
      <c r="G28" s="3" t="s">
        <v>353</v>
      </c>
      <c r="H28" s="3" t="s">
        <v>637</v>
      </c>
      <c r="I28" s="3" t="s">
        <v>379</v>
      </c>
      <c r="J28" s="3" t="s">
        <v>527</v>
      </c>
      <c r="K28" s="3" t="s">
        <v>674</v>
      </c>
      <c r="L28" s="3" t="s">
        <v>405</v>
      </c>
      <c r="M28" s="3" t="s">
        <v>583</v>
      </c>
      <c r="N28" s="3" t="s">
        <v>469</v>
      </c>
    </row>
    <row r="29" spans="1:14" x14ac:dyDescent="0.2">
      <c r="A29" s="2"/>
      <c r="B29" s="2">
        <v>16.3</v>
      </c>
      <c r="D29" s="6"/>
      <c r="E29" s="6">
        <v>8.3530999999999994E-2</v>
      </c>
      <c r="F29" s="3" t="s">
        <v>730</v>
      </c>
      <c r="G29" s="3" t="s">
        <v>354</v>
      </c>
      <c r="H29" s="3" t="s">
        <v>638</v>
      </c>
      <c r="I29" s="3" t="s">
        <v>380</v>
      </c>
      <c r="J29" s="3" t="s">
        <v>528</v>
      </c>
      <c r="K29" s="3" t="s">
        <v>676</v>
      </c>
      <c r="L29" s="3" t="s">
        <v>406</v>
      </c>
      <c r="M29" s="3" t="s">
        <v>584</v>
      </c>
      <c r="N29" s="3" t="s">
        <v>448</v>
      </c>
    </row>
    <row r="30" spans="1:14" x14ac:dyDescent="0.2">
      <c r="A30" s="2" t="s">
        <v>16</v>
      </c>
      <c r="B30" s="2">
        <v>17</v>
      </c>
      <c r="D30" s="6">
        <v>8.3531999999999995E-2</v>
      </c>
      <c r="E30" t="s">
        <v>27</v>
      </c>
      <c r="F30" s="3" t="s">
        <v>732</v>
      </c>
      <c r="G30" s="3" t="s">
        <v>355</v>
      </c>
      <c r="H30" s="3" t="s">
        <v>639</v>
      </c>
      <c r="I30" s="3" t="s">
        <v>381</v>
      </c>
      <c r="J30" s="3" t="s">
        <v>529</v>
      </c>
      <c r="K30" s="3" t="s">
        <v>678</v>
      </c>
      <c r="L30" s="3" t="s">
        <v>407</v>
      </c>
      <c r="M30" s="3" t="s">
        <v>585</v>
      </c>
      <c r="N30" s="3" t="s">
        <v>470</v>
      </c>
    </row>
    <row r="31" spans="1:14" x14ac:dyDescent="0.2">
      <c r="A31" s="2" t="s">
        <v>17</v>
      </c>
      <c r="B31" s="2">
        <v>18</v>
      </c>
      <c r="D31" t="s">
        <v>27</v>
      </c>
      <c r="E31" t="s">
        <v>27</v>
      </c>
      <c r="F31" s="3" t="s">
        <v>734</v>
      </c>
      <c r="G31" s="3" t="s">
        <v>356</v>
      </c>
      <c r="H31" s="3" t="s">
        <v>640</v>
      </c>
      <c r="I31" s="3" t="s">
        <v>382</v>
      </c>
      <c r="J31" s="3" t="s">
        <v>530</v>
      </c>
      <c r="K31" s="3" t="s">
        <v>679</v>
      </c>
      <c r="L31" s="3" t="s">
        <v>408</v>
      </c>
      <c r="M31" s="3" t="s">
        <v>586</v>
      </c>
      <c r="N31" s="3" t="s">
        <v>471</v>
      </c>
    </row>
    <row r="32" spans="1:14" x14ac:dyDescent="0.2">
      <c r="A32" s="2" t="s">
        <v>18</v>
      </c>
      <c r="B32" s="2">
        <v>19</v>
      </c>
      <c r="D32" t="s">
        <v>27</v>
      </c>
      <c r="E32" t="s">
        <v>27</v>
      </c>
      <c r="F32" s="3" t="s">
        <v>736</v>
      </c>
      <c r="G32" s="3" t="s">
        <v>357</v>
      </c>
      <c r="H32" s="3" t="s">
        <v>623</v>
      </c>
      <c r="I32" s="3" t="s">
        <v>383</v>
      </c>
      <c r="J32" s="3" t="s">
        <v>531</v>
      </c>
      <c r="K32" s="3" t="s">
        <v>680</v>
      </c>
      <c r="L32" s="3" t="s">
        <v>409</v>
      </c>
      <c r="M32" s="3" t="s">
        <v>587</v>
      </c>
      <c r="N32" s="3" t="s">
        <v>472</v>
      </c>
    </row>
    <row r="33" spans="1:14" x14ac:dyDescent="0.2">
      <c r="A33" s="2" t="s">
        <v>19</v>
      </c>
      <c r="B33" s="2">
        <v>20</v>
      </c>
      <c r="D33" t="s">
        <v>27</v>
      </c>
      <c r="E33" s="6">
        <v>0.5</v>
      </c>
      <c r="F33" s="3" t="s">
        <v>738</v>
      </c>
      <c r="G33" s="3" t="s">
        <v>301</v>
      </c>
      <c r="H33" s="3" t="s">
        <v>748</v>
      </c>
      <c r="I33" s="3" t="s">
        <v>269</v>
      </c>
      <c r="J33" s="3" t="s">
        <v>533</v>
      </c>
      <c r="K33" s="3" t="s">
        <v>683</v>
      </c>
      <c r="L33" s="3" t="s">
        <v>190</v>
      </c>
      <c r="M33" s="3" t="s">
        <v>645</v>
      </c>
      <c r="N33" s="3" t="s">
        <v>431</v>
      </c>
    </row>
    <row r="34" spans="1:14" x14ac:dyDescent="0.2">
      <c r="L34" s="119" t="s">
        <v>765</v>
      </c>
      <c r="M34" s="119" t="s">
        <v>765</v>
      </c>
    </row>
    <row r="35" spans="1:14" x14ac:dyDescent="0.2">
      <c r="I35" t="s">
        <v>81</v>
      </c>
    </row>
    <row r="36" spans="1:14" x14ac:dyDescent="0.2">
      <c r="F36" s="183" t="s">
        <v>742</v>
      </c>
      <c r="G36" s="183"/>
      <c r="H36" s="183"/>
      <c r="I36" s="183"/>
      <c r="J36" s="183"/>
      <c r="K36" s="183"/>
      <c r="L36" s="183"/>
      <c r="M36" s="183"/>
      <c r="N36" s="183"/>
    </row>
    <row r="37" spans="1:14" ht="14.5" customHeight="1" x14ac:dyDescent="0.2">
      <c r="F37" s="184" t="s">
        <v>745</v>
      </c>
      <c r="G37" s="184"/>
      <c r="H37" s="184"/>
      <c r="I37" s="184"/>
      <c r="J37" s="184"/>
      <c r="K37" s="184"/>
      <c r="L37" s="184"/>
      <c r="M37" s="184"/>
      <c r="N37" s="184"/>
    </row>
    <row r="38" spans="1:14" x14ac:dyDescent="0.2">
      <c r="F38" s="184"/>
      <c r="G38" s="184"/>
      <c r="H38" s="184"/>
      <c r="I38" s="184"/>
      <c r="J38" s="184"/>
      <c r="K38" s="184"/>
      <c r="L38" s="184"/>
      <c r="M38" s="184"/>
      <c r="N38" s="184"/>
    </row>
    <row r="39" spans="1:14" x14ac:dyDescent="0.2">
      <c r="F39" s="184"/>
      <c r="G39" s="184"/>
      <c r="H39" s="184"/>
      <c r="I39" s="184"/>
      <c r="J39" s="184"/>
      <c r="K39" s="184"/>
      <c r="L39" s="184"/>
      <c r="M39" s="184"/>
      <c r="N39" s="184"/>
    </row>
    <row r="40" spans="1:14" x14ac:dyDescent="0.2">
      <c r="F40" s="184"/>
      <c r="G40" s="184"/>
      <c r="H40" s="184"/>
      <c r="I40" s="184"/>
      <c r="J40" s="184"/>
      <c r="K40" s="184"/>
      <c r="L40" s="184"/>
      <c r="M40" s="184"/>
      <c r="N40" s="184"/>
    </row>
    <row r="41" spans="1:14" x14ac:dyDescent="0.2">
      <c r="F41" s="184"/>
      <c r="G41" s="184"/>
      <c r="H41" s="184"/>
      <c r="I41" s="184"/>
      <c r="J41" s="184"/>
      <c r="K41" s="184"/>
      <c r="L41" s="184"/>
      <c r="M41" s="184"/>
      <c r="N41" s="184"/>
    </row>
    <row r="42" spans="1:14" x14ac:dyDescent="0.2">
      <c r="F42" s="184"/>
      <c r="G42" s="184"/>
      <c r="H42" s="184"/>
      <c r="I42" s="184"/>
      <c r="J42" s="184"/>
      <c r="K42" s="184"/>
      <c r="L42" s="184"/>
      <c r="M42" s="184"/>
      <c r="N42" s="184"/>
    </row>
    <row r="43" spans="1:14" x14ac:dyDescent="0.2">
      <c r="F43" s="118"/>
      <c r="G43" s="118"/>
      <c r="H43" s="118"/>
      <c r="I43" s="118"/>
      <c r="J43" s="118"/>
      <c r="K43" s="118"/>
      <c r="L43" s="118"/>
      <c r="M43" s="118"/>
      <c r="N43" s="118"/>
    </row>
    <row r="44" spans="1:14" x14ac:dyDescent="0.2">
      <c r="F44" s="183" t="s">
        <v>743</v>
      </c>
      <c r="G44" s="183"/>
      <c r="H44" s="183"/>
      <c r="I44" s="183"/>
      <c r="J44" s="183"/>
      <c r="K44" s="183"/>
      <c r="L44" s="183"/>
      <c r="M44" s="183"/>
      <c r="N44" s="183"/>
    </row>
    <row r="45" spans="1:14" ht="68.25" customHeight="1" x14ac:dyDescent="0.2">
      <c r="F45" s="184" t="s">
        <v>744</v>
      </c>
      <c r="G45" s="184"/>
      <c r="H45" s="184"/>
      <c r="I45" s="184"/>
      <c r="J45" s="184"/>
      <c r="K45" s="184"/>
      <c r="L45" s="184"/>
      <c r="M45" s="184"/>
      <c r="N45" s="184"/>
    </row>
    <row r="46" spans="1:14" x14ac:dyDescent="0.2">
      <c r="F46" s="118"/>
      <c r="G46" s="118"/>
      <c r="H46" s="118"/>
      <c r="I46" s="118"/>
      <c r="J46" s="118"/>
      <c r="K46" s="118"/>
      <c r="L46" s="118"/>
      <c r="M46" s="118"/>
      <c r="N46" s="118"/>
    </row>
    <row r="47" spans="1:14" x14ac:dyDescent="0.2">
      <c r="F47" s="185" t="s">
        <v>746</v>
      </c>
      <c r="G47" s="185"/>
      <c r="H47" s="185"/>
      <c r="I47" s="185"/>
      <c r="J47" s="185"/>
      <c r="K47" s="185"/>
      <c r="L47" s="185"/>
      <c r="M47" s="185"/>
      <c r="N47" s="185"/>
    </row>
    <row r="48" spans="1:14" ht="44.5" customHeight="1" x14ac:dyDescent="0.2">
      <c r="F48" s="184" t="s">
        <v>747</v>
      </c>
      <c r="G48" s="184"/>
      <c r="H48" s="184"/>
      <c r="I48" s="184"/>
      <c r="J48" s="184"/>
      <c r="K48" s="184"/>
      <c r="L48" s="184"/>
      <c r="M48" s="184"/>
      <c r="N48" s="184"/>
    </row>
    <row r="50" spans="6:14" x14ac:dyDescent="0.2">
      <c r="F50" s="183" t="s">
        <v>749</v>
      </c>
      <c r="G50" s="183"/>
      <c r="H50" s="183"/>
      <c r="I50" s="183"/>
      <c r="J50" s="183"/>
      <c r="K50" s="183"/>
      <c r="L50" s="183"/>
      <c r="M50" s="183"/>
      <c r="N50" s="183"/>
    </row>
    <row r="51" spans="6:14" ht="14.5" customHeight="1" x14ac:dyDescent="0.2">
      <c r="F51" s="184" t="s">
        <v>750</v>
      </c>
      <c r="G51" s="184"/>
      <c r="H51" s="184"/>
      <c r="I51" s="184"/>
      <c r="J51" s="184"/>
      <c r="K51" s="184"/>
      <c r="L51" s="184"/>
      <c r="M51" s="184"/>
      <c r="N51" s="184"/>
    </row>
    <row r="52" spans="6:14" x14ac:dyDescent="0.2">
      <c r="F52" s="184"/>
      <c r="G52" s="184"/>
      <c r="H52" s="184"/>
      <c r="I52" s="184"/>
      <c r="J52" s="184"/>
      <c r="K52" s="184"/>
      <c r="L52" s="184"/>
      <c r="M52" s="184"/>
      <c r="N52" s="184"/>
    </row>
    <row r="53" spans="6:14" x14ac:dyDescent="0.2">
      <c r="F53" s="184"/>
      <c r="G53" s="184"/>
      <c r="H53" s="184"/>
      <c r="I53" s="184"/>
      <c r="J53" s="184"/>
      <c r="K53" s="184"/>
      <c r="L53" s="184"/>
      <c r="M53" s="184"/>
      <c r="N53" s="184"/>
    </row>
    <row r="54" spans="6:14" x14ac:dyDescent="0.2">
      <c r="F54" s="184"/>
      <c r="G54" s="184"/>
      <c r="H54" s="184"/>
      <c r="I54" s="184"/>
      <c r="J54" s="184"/>
      <c r="K54" s="184"/>
      <c r="L54" s="184"/>
      <c r="M54" s="184"/>
      <c r="N54" s="184"/>
    </row>
    <row r="56" spans="6:14" x14ac:dyDescent="0.2">
      <c r="F56" s="183" t="s">
        <v>751</v>
      </c>
      <c r="G56" s="183"/>
      <c r="H56" s="183"/>
      <c r="I56" s="183"/>
      <c r="J56" s="183"/>
      <c r="K56" s="183"/>
      <c r="L56" s="183"/>
      <c r="M56" s="183"/>
      <c r="N56" s="183"/>
    </row>
    <row r="57" spans="6:14" x14ac:dyDescent="0.2">
      <c r="F57" s="184" t="s">
        <v>752</v>
      </c>
      <c r="G57" s="184"/>
      <c r="H57" s="184"/>
      <c r="I57" s="184"/>
      <c r="J57" s="184"/>
      <c r="K57" s="184"/>
      <c r="L57" s="184"/>
      <c r="M57" s="184"/>
      <c r="N57" s="184"/>
    </row>
    <row r="58" spans="6:14" x14ac:dyDescent="0.2">
      <c r="F58" s="184"/>
      <c r="G58" s="184"/>
      <c r="H58" s="184"/>
      <c r="I58" s="184"/>
      <c r="J58" s="184"/>
      <c r="K58" s="184"/>
      <c r="L58" s="184"/>
      <c r="M58" s="184"/>
      <c r="N58" s="184"/>
    </row>
    <row r="59" spans="6:14" x14ac:dyDescent="0.2">
      <c r="F59" s="184"/>
      <c r="G59" s="184"/>
      <c r="H59" s="184"/>
      <c r="I59" s="184"/>
      <c r="J59" s="184"/>
      <c r="K59" s="184"/>
      <c r="L59" s="184"/>
      <c r="M59" s="184"/>
      <c r="N59" s="184"/>
    </row>
    <row r="60" spans="6:14" x14ac:dyDescent="0.2">
      <c r="F60" s="184"/>
      <c r="G60" s="184"/>
      <c r="H60" s="184"/>
      <c r="I60" s="184"/>
      <c r="J60" s="184"/>
      <c r="K60" s="184"/>
      <c r="L60" s="184"/>
      <c r="M60" s="184"/>
      <c r="N60" s="184"/>
    </row>
    <row r="62" spans="6:14" x14ac:dyDescent="0.2">
      <c r="F62" s="183" t="s">
        <v>753</v>
      </c>
      <c r="G62" s="183"/>
      <c r="H62" s="183"/>
      <c r="I62" s="183"/>
      <c r="J62" s="183"/>
      <c r="K62" s="183"/>
      <c r="L62" s="183"/>
      <c r="M62" s="183"/>
      <c r="N62" s="183"/>
    </row>
    <row r="63" spans="6:14" x14ac:dyDescent="0.2">
      <c r="F63" s="184" t="s">
        <v>754</v>
      </c>
      <c r="G63" s="184"/>
      <c r="H63" s="184"/>
      <c r="I63" s="184"/>
      <c r="J63" s="184"/>
      <c r="K63" s="184"/>
      <c r="L63" s="184"/>
      <c r="M63" s="184"/>
      <c r="N63" s="184"/>
    </row>
    <row r="64" spans="6:14" x14ac:dyDescent="0.2">
      <c r="F64" s="184"/>
      <c r="G64" s="184"/>
      <c r="H64" s="184"/>
      <c r="I64" s="184"/>
      <c r="J64" s="184"/>
      <c r="K64" s="184"/>
      <c r="L64" s="184"/>
      <c r="M64" s="184"/>
      <c r="N64" s="184"/>
    </row>
    <row r="65" spans="6:14" x14ac:dyDescent="0.2">
      <c r="F65" s="184"/>
      <c r="G65" s="184"/>
      <c r="H65" s="184"/>
      <c r="I65" s="184"/>
      <c r="J65" s="184"/>
      <c r="K65" s="184"/>
      <c r="L65" s="184"/>
      <c r="M65" s="184"/>
      <c r="N65" s="184"/>
    </row>
    <row r="66" spans="6:14" x14ac:dyDescent="0.2">
      <c r="F66" s="184"/>
      <c r="G66" s="184"/>
      <c r="H66" s="184"/>
      <c r="I66" s="184"/>
      <c r="J66" s="184"/>
      <c r="K66" s="184"/>
      <c r="L66" s="184"/>
      <c r="M66" s="184"/>
      <c r="N66" s="184"/>
    </row>
    <row r="68" spans="6:14" x14ac:dyDescent="0.2">
      <c r="F68" s="183" t="s">
        <v>755</v>
      </c>
      <c r="G68" s="183"/>
      <c r="H68" s="183"/>
      <c r="I68" s="183"/>
      <c r="J68" s="183"/>
      <c r="K68" s="183"/>
      <c r="L68" s="183"/>
      <c r="M68" s="183"/>
      <c r="N68" s="183"/>
    </row>
    <row r="69" spans="6:14" x14ac:dyDescent="0.2">
      <c r="F69" s="184" t="s">
        <v>756</v>
      </c>
      <c r="G69" s="184"/>
      <c r="H69" s="184"/>
      <c r="I69" s="184"/>
      <c r="J69" s="184"/>
      <c r="K69" s="184"/>
      <c r="L69" s="184"/>
      <c r="M69" s="184"/>
      <c r="N69" s="184"/>
    </row>
    <row r="70" spans="6:14" x14ac:dyDescent="0.2">
      <c r="F70" s="184"/>
      <c r="G70" s="184"/>
      <c r="H70" s="184"/>
      <c r="I70" s="184"/>
      <c r="J70" s="184"/>
      <c r="K70" s="184"/>
      <c r="L70" s="184"/>
      <c r="M70" s="184"/>
      <c r="N70" s="184"/>
    </row>
    <row r="71" spans="6:14" x14ac:dyDescent="0.2">
      <c r="F71" s="184"/>
      <c r="G71" s="184"/>
      <c r="H71" s="184"/>
      <c r="I71" s="184"/>
      <c r="J71" s="184"/>
      <c r="K71" s="184"/>
      <c r="L71" s="184"/>
      <c r="M71" s="184"/>
      <c r="N71" s="184"/>
    </row>
    <row r="72" spans="6:14" x14ac:dyDescent="0.2">
      <c r="F72" s="184"/>
      <c r="G72" s="184"/>
      <c r="H72" s="184"/>
      <c r="I72" s="184"/>
      <c r="J72" s="184"/>
      <c r="K72" s="184"/>
      <c r="L72" s="184"/>
      <c r="M72" s="184"/>
      <c r="N72" s="184"/>
    </row>
    <row r="74" spans="6:14" x14ac:dyDescent="0.2">
      <c r="F74" s="183" t="s">
        <v>757</v>
      </c>
      <c r="G74" s="183"/>
      <c r="H74" s="183"/>
      <c r="I74" s="183"/>
      <c r="J74" s="183"/>
      <c r="K74" s="183"/>
      <c r="L74" s="183"/>
      <c r="M74" s="183"/>
      <c r="N74" s="183"/>
    </row>
    <row r="75" spans="6:14" x14ac:dyDescent="0.2">
      <c r="F75" s="184" t="s">
        <v>759</v>
      </c>
      <c r="G75" s="184"/>
      <c r="H75" s="184"/>
      <c r="I75" s="184"/>
      <c r="J75" s="184"/>
      <c r="K75" s="184"/>
      <c r="L75" s="184"/>
      <c r="M75" s="184"/>
      <c r="N75" s="184"/>
    </row>
    <row r="76" spans="6:14" x14ac:dyDescent="0.2">
      <c r="F76" s="184"/>
      <c r="G76" s="184"/>
      <c r="H76" s="184"/>
      <c r="I76" s="184"/>
      <c r="J76" s="184"/>
      <c r="K76" s="184"/>
      <c r="L76" s="184"/>
      <c r="M76" s="184"/>
      <c r="N76" s="184"/>
    </row>
    <row r="77" spans="6:14" x14ac:dyDescent="0.2">
      <c r="F77" s="184"/>
      <c r="G77" s="184"/>
      <c r="H77" s="184"/>
      <c r="I77" s="184"/>
      <c r="J77" s="184"/>
      <c r="K77" s="184"/>
      <c r="L77" s="184"/>
      <c r="M77" s="184"/>
      <c r="N77" s="184"/>
    </row>
    <row r="78" spans="6:14" x14ac:dyDescent="0.2">
      <c r="F78" s="184"/>
      <c r="G78" s="184"/>
      <c r="H78" s="184"/>
      <c r="I78" s="184"/>
      <c r="J78" s="184"/>
      <c r="K78" s="184"/>
      <c r="L78" s="184"/>
      <c r="M78" s="184"/>
      <c r="N78" s="184"/>
    </row>
    <row r="79" spans="6:14" x14ac:dyDescent="0.2">
      <c r="F79" s="117"/>
      <c r="G79" s="117"/>
      <c r="H79" s="117"/>
      <c r="I79" s="117"/>
      <c r="J79" s="117"/>
      <c r="K79" s="117"/>
      <c r="L79" s="117"/>
      <c r="M79" s="117"/>
      <c r="N79" s="117"/>
    </row>
    <row r="80" spans="6:14" x14ac:dyDescent="0.2">
      <c r="F80" s="183" t="s">
        <v>131</v>
      </c>
      <c r="G80" s="183"/>
      <c r="H80" s="183"/>
      <c r="I80" s="183"/>
      <c r="J80" s="183"/>
      <c r="K80" s="183"/>
      <c r="L80" s="183"/>
      <c r="M80" s="183"/>
      <c r="N80" s="183"/>
    </row>
    <row r="81" spans="6:14" x14ac:dyDescent="0.2">
      <c r="F81" s="184" t="s">
        <v>758</v>
      </c>
      <c r="G81" s="184"/>
      <c r="H81" s="184"/>
      <c r="I81" s="184"/>
      <c r="J81" s="184"/>
      <c r="K81" s="184"/>
      <c r="L81" s="184"/>
      <c r="M81" s="184"/>
      <c r="N81" s="184"/>
    </row>
    <row r="82" spans="6:14" x14ac:dyDescent="0.2">
      <c r="F82" s="184"/>
      <c r="G82" s="184"/>
      <c r="H82" s="184"/>
      <c r="I82" s="184"/>
      <c r="J82" s="184"/>
      <c r="K82" s="184"/>
      <c r="L82" s="184"/>
      <c r="M82" s="184"/>
      <c r="N82" s="184"/>
    </row>
    <row r="83" spans="6:14" x14ac:dyDescent="0.2">
      <c r="F83" s="184"/>
      <c r="G83" s="184"/>
      <c r="H83" s="184"/>
      <c r="I83" s="184"/>
      <c r="J83" s="184"/>
      <c r="K83" s="184"/>
      <c r="L83" s="184"/>
      <c r="M83" s="184"/>
      <c r="N83" s="184"/>
    </row>
    <row r="84" spans="6:14" x14ac:dyDescent="0.2">
      <c r="F84" s="184"/>
      <c r="G84" s="184"/>
      <c r="H84" s="184"/>
      <c r="I84" s="184"/>
      <c r="J84" s="184"/>
      <c r="K84" s="184"/>
      <c r="L84" s="184"/>
      <c r="M84" s="184"/>
      <c r="N84" s="184"/>
    </row>
    <row r="86" spans="6:14" x14ac:dyDescent="0.2">
      <c r="F86" s="183" t="s">
        <v>116</v>
      </c>
      <c r="G86" s="183"/>
      <c r="H86" s="183"/>
      <c r="I86" s="183"/>
      <c r="J86" s="183"/>
      <c r="K86" s="183"/>
      <c r="L86" s="183"/>
      <c r="M86" s="183"/>
      <c r="N86" s="183"/>
    </row>
    <row r="87" spans="6:14" x14ac:dyDescent="0.2">
      <c r="F87" s="184" t="s">
        <v>760</v>
      </c>
      <c r="G87" s="184"/>
      <c r="H87" s="184"/>
      <c r="I87" s="184"/>
      <c r="J87" s="184"/>
      <c r="K87" s="184"/>
      <c r="L87" s="184"/>
      <c r="M87" s="184"/>
      <c r="N87" s="184"/>
    </row>
    <row r="88" spans="6:14" x14ac:dyDescent="0.2">
      <c r="F88" s="184"/>
      <c r="G88" s="184"/>
      <c r="H88" s="184"/>
      <c r="I88" s="184"/>
      <c r="J88" s="184"/>
      <c r="K88" s="184"/>
      <c r="L88" s="184"/>
      <c r="M88" s="184"/>
      <c r="N88" s="184"/>
    </row>
    <row r="89" spans="6:14" x14ac:dyDescent="0.2">
      <c r="F89" s="184"/>
      <c r="G89" s="184"/>
      <c r="H89" s="184"/>
      <c r="I89" s="184"/>
      <c r="J89" s="184"/>
      <c r="K89" s="184"/>
      <c r="L89" s="184"/>
      <c r="M89" s="184"/>
      <c r="N89" s="184"/>
    </row>
    <row r="90" spans="6:14" x14ac:dyDescent="0.2">
      <c r="F90" s="184"/>
      <c r="G90" s="184"/>
      <c r="H90" s="184"/>
      <c r="I90" s="184"/>
      <c r="J90" s="184"/>
      <c r="K90" s="184"/>
      <c r="L90" s="184"/>
      <c r="M90" s="184"/>
      <c r="N90" s="184"/>
    </row>
  </sheetData>
  <mergeCells count="26">
    <mergeCell ref="F81:N84"/>
    <mergeCell ref="F80:N80"/>
    <mergeCell ref="F86:N86"/>
    <mergeCell ref="F87:N90"/>
    <mergeCell ref="F62:N62"/>
    <mergeCell ref="F63:N66"/>
    <mergeCell ref="F68:N68"/>
    <mergeCell ref="F69:N72"/>
    <mergeCell ref="F75:N78"/>
    <mergeCell ref="F74:N74"/>
    <mergeCell ref="F50:N50"/>
    <mergeCell ref="F51:N54"/>
    <mergeCell ref="F56:N56"/>
    <mergeCell ref="F57:N60"/>
    <mergeCell ref="F37:N42"/>
    <mergeCell ref="F36:N36"/>
    <mergeCell ref="F44:N44"/>
    <mergeCell ref="F45:N45"/>
    <mergeCell ref="F47:N47"/>
    <mergeCell ref="F48:N48"/>
    <mergeCell ref="H3:I3"/>
    <mergeCell ref="J3:K3"/>
    <mergeCell ref="L3:N3"/>
    <mergeCell ref="F3:G3"/>
    <mergeCell ref="A4:B4"/>
    <mergeCell ref="C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C41A-B3EA-47A4-B767-FC6F23113EAD}">
  <sheetPr codeName="Sheet2"/>
  <dimension ref="C2:AH133"/>
  <sheetViews>
    <sheetView tabSelected="1" zoomScaleNormal="100" workbookViewId="0">
      <selection activeCell="C127" sqref="C127:D133"/>
    </sheetView>
  </sheetViews>
  <sheetFormatPr baseColWidth="10" defaultColWidth="8.83203125" defaultRowHeight="15" x14ac:dyDescent="0.2"/>
  <cols>
    <col min="3" max="3" width="34.5" bestFit="1" customWidth="1"/>
    <col min="4" max="4" width="10.83203125" bestFit="1" customWidth="1"/>
    <col min="5" max="5" width="10.6640625" bestFit="1" customWidth="1"/>
    <col min="6" max="6" width="8" bestFit="1" customWidth="1"/>
    <col min="7" max="7" width="18.5" bestFit="1" customWidth="1"/>
    <col min="8" max="8" width="11.83203125" bestFit="1" customWidth="1"/>
    <col min="9" max="9" width="12" bestFit="1" customWidth="1"/>
    <col min="10" max="10" width="19.1640625" bestFit="1" customWidth="1"/>
    <col min="11" max="11" width="10.1640625" bestFit="1" customWidth="1"/>
    <col min="12" max="12" width="9.6640625" customWidth="1"/>
    <col min="13" max="15" width="8.6640625" customWidth="1"/>
    <col min="16" max="16" width="17.33203125" customWidth="1"/>
    <col min="17" max="19" width="18.83203125" customWidth="1"/>
    <col min="20" max="21" width="16" customWidth="1"/>
    <col min="22" max="23" width="18.5" customWidth="1"/>
    <col min="24" max="27" width="16" customWidth="1"/>
    <col min="28" max="28" width="20" bestFit="1" customWidth="1"/>
    <col min="29" max="29" width="20" customWidth="1"/>
    <col min="30" max="30" width="20" bestFit="1" customWidth="1"/>
    <col min="31" max="32" width="20" customWidth="1"/>
    <col min="33" max="33" width="20.5" bestFit="1" customWidth="1"/>
    <col min="34" max="34" width="20.5" customWidth="1"/>
  </cols>
  <sheetData>
    <row r="2" spans="3:34" ht="16" thickBot="1" x14ac:dyDescent="0.25"/>
    <row r="3" spans="3:34" ht="16" hidden="1" thickBot="1" x14ac:dyDescent="0.25">
      <c r="C3" s="154" t="s">
        <v>784</v>
      </c>
      <c r="D3" s="122">
        <v>7.0000000000000007E-2</v>
      </c>
      <c r="E3" s="138">
        <v>0.08</v>
      </c>
      <c r="F3" s="138">
        <v>0.2</v>
      </c>
      <c r="G3" s="138">
        <v>0.11</v>
      </c>
      <c r="H3" s="138">
        <v>0.09</v>
      </c>
      <c r="I3" s="138">
        <v>0.08</v>
      </c>
      <c r="J3" s="138">
        <v>0.14000000000000001</v>
      </c>
      <c r="K3" s="138">
        <v>0.11</v>
      </c>
      <c r="L3" s="127">
        <v>0.12</v>
      </c>
      <c r="P3" s="72">
        <f>SUM(P5:R5)</f>
        <v>0.15000000000000002</v>
      </c>
      <c r="Q3" s="72"/>
      <c r="R3" s="72"/>
      <c r="S3" s="72"/>
      <c r="T3" s="72">
        <f>SUM(T5:V5)</f>
        <v>0.31</v>
      </c>
      <c r="U3" s="72"/>
      <c r="X3" s="72">
        <f>SUM(X5:Z5)</f>
        <v>0.16999999999999998</v>
      </c>
      <c r="Y3" s="72"/>
      <c r="AB3" s="72">
        <f>SUM(AB5:AF5)</f>
        <v>0.37</v>
      </c>
      <c r="AC3" s="72"/>
    </row>
    <row r="4" spans="3:34" ht="16" thickBot="1" x14ac:dyDescent="0.25">
      <c r="C4" s="154" t="s">
        <v>785</v>
      </c>
      <c r="D4" s="159" t="s">
        <v>145</v>
      </c>
      <c r="E4" s="160" t="s">
        <v>290</v>
      </c>
      <c r="F4" s="160" t="s">
        <v>112</v>
      </c>
      <c r="G4" s="160" t="s">
        <v>113</v>
      </c>
      <c r="H4" s="160" t="s">
        <v>110</v>
      </c>
      <c r="I4" s="160" t="s">
        <v>111</v>
      </c>
      <c r="J4" s="160" t="s">
        <v>769</v>
      </c>
      <c r="K4" s="160" t="s">
        <v>115</v>
      </c>
      <c r="L4" s="161" t="s">
        <v>116</v>
      </c>
      <c r="P4" s="165" t="s">
        <v>741</v>
      </c>
      <c r="Q4" s="166"/>
      <c r="R4" s="166"/>
      <c r="S4" s="166"/>
      <c r="T4" s="165" t="s">
        <v>107</v>
      </c>
      <c r="U4" s="166"/>
      <c r="V4" s="166"/>
      <c r="W4" s="167"/>
      <c r="X4" s="165" t="s">
        <v>108</v>
      </c>
      <c r="Y4" s="166"/>
      <c r="Z4" s="166"/>
      <c r="AA4" s="167"/>
      <c r="AB4" s="165" t="s">
        <v>109</v>
      </c>
      <c r="AC4" s="166"/>
      <c r="AD4" s="166"/>
      <c r="AE4" s="166"/>
      <c r="AF4" s="166"/>
      <c r="AG4" s="167"/>
      <c r="AH4" s="1"/>
    </row>
    <row r="5" spans="3:34" x14ac:dyDescent="0.2">
      <c r="C5" s="155" t="s">
        <v>786</v>
      </c>
      <c r="D5" s="162">
        <v>2843000</v>
      </c>
      <c r="E5" s="163">
        <f>(-193)/2843</f>
        <v>-6.7886035877594092E-2</v>
      </c>
      <c r="F5" s="163">
        <f>(-35+141+55)/(144+55)</f>
        <v>0.80904522613065322</v>
      </c>
      <c r="G5" s="163">
        <f>161/55</f>
        <v>2.9272727272727272</v>
      </c>
      <c r="H5" s="163">
        <v>0.51</v>
      </c>
      <c r="I5" s="163">
        <f>(-35+141-34)/638</f>
        <v>0.11285266457680251</v>
      </c>
      <c r="J5" s="163">
        <v>2.76</v>
      </c>
      <c r="K5" s="163">
        <v>-1.44</v>
      </c>
      <c r="L5" s="164">
        <f>(-35+141-34)/2454</f>
        <v>2.9339853300733496E-2</v>
      </c>
      <c r="N5" s="178" t="s">
        <v>24</v>
      </c>
      <c r="O5" s="178"/>
      <c r="P5" s="173">
        <v>7.0000000000000007E-2</v>
      </c>
      <c r="Q5" s="174"/>
      <c r="R5" s="170">
        <v>0.08</v>
      </c>
      <c r="S5" s="177"/>
      <c r="T5" s="175">
        <v>0.2</v>
      </c>
      <c r="U5" s="179"/>
      <c r="V5" s="170">
        <v>0.11</v>
      </c>
      <c r="W5" s="171"/>
      <c r="X5" s="175">
        <v>0.09</v>
      </c>
      <c r="Y5" s="176"/>
      <c r="Z5" s="170">
        <v>0.08</v>
      </c>
      <c r="AA5" s="171"/>
      <c r="AB5" s="170">
        <v>0.14000000000000001</v>
      </c>
      <c r="AC5" s="171"/>
      <c r="AD5" s="170">
        <v>0.11</v>
      </c>
      <c r="AE5" s="177"/>
      <c r="AF5" s="170">
        <v>0.12</v>
      </c>
      <c r="AG5" s="177"/>
      <c r="AH5" s="114"/>
    </row>
    <row r="6" spans="3:34" ht="16" thickBot="1" x14ac:dyDescent="0.25">
      <c r="C6" s="155" t="s">
        <v>767</v>
      </c>
      <c r="D6" s="50">
        <f>INDEX($O$7:$O$34,MATCH(D5,$Q$7:$Q$34,-1))</f>
        <v>20</v>
      </c>
      <c r="E6">
        <f>+INDEX($O$7:$O$34,MATCH(E5,$S$7:$S$34,-1))</f>
        <v>20</v>
      </c>
      <c r="F6">
        <f>INDEX($O$7:$O$34,MATCH(F5,$U$7:$U$34,-1))</f>
        <v>16.2</v>
      </c>
      <c r="G6">
        <f>INDEX($O$7:$O$34,MATCH(G5,$W$7:$W$34,-1))</f>
        <v>15.2</v>
      </c>
      <c r="H6">
        <f>INDEX($O$7:$O$34,MATCH(H5,$Y$7:$Y$34,-1))</f>
        <v>20</v>
      </c>
      <c r="I6">
        <f>INDEX($O$7:$O$34,MATCH(I5,$AA$7:$AA$34,-1))</f>
        <v>16.3</v>
      </c>
      <c r="J6" cm="1">
        <f t="array" ref="J6">IF(J5&lt;0,20,INDEX(O7:O34, MATCH(TRUE, AC7:AC34 &gt; J5, 0)))</f>
        <v>10</v>
      </c>
      <c r="K6" cm="1">
        <f t="array" ref="K6">IF(K5&lt;0,20,INDEX(O7:O34, MATCH(TRUE, AE7:AE34 &gt; K5, 0)))</f>
        <v>20</v>
      </c>
      <c r="L6" s="51">
        <f>INDEX($O$7:$O$34,MATCH(L5,$AG$7:$AG$34,-1))</f>
        <v>20</v>
      </c>
      <c r="N6" s="4" t="s">
        <v>20</v>
      </c>
      <c r="O6" s="4" t="s">
        <v>21</v>
      </c>
      <c r="P6" s="168" t="s">
        <v>145</v>
      </c>
      <c r="Q6" s="172"/>
      <c r="R6" s="168" t="s">
        <v>290</v>
      </c>
      <c r="S6" s="172"/>
      <c r="T6" s="168" t="s">
        <v>112</v>
      </c>
      <c r="U6" s="172"/>
      <c r="V6" s="168" t="s">
        <v>113</v>
      </c>
      <c r="W6" s="169"/>
      <c r="X6" s="168" t="s">
        <v>110</v>
      </c>
      <c r="Y6" s="169"/>
      <c r="Z6" s="168" t="s">
        <v>111</v>
      </c>
      <c r="AA6" s="169"/>
      <c r="AB6" s="168" t="s">
        <v>769</v>
      </c>
      <c r="AC6" s="169"/>
      <c r="AD6" s="168" t="s">
        <v>115</v>
      </c>
      <c r="AE6" s="172"/>
      <c r="AF6" s="168" t="s">
        <v>116</v>
      </c>
      <c r="AG6" s="172"/>
      <c r="AH6" s="1"/>
    </row>
    <row r="7" spans="3:34" ht="16" thickBot="1" x14ac:dyDescent="0.25">
      <c r="C7" s="156" t="s">
        <v>787</v>
      </c>
      <c r="D7" s="157" cm="1">
        <f t="array" ref="D7">SUMPRODUCT(D6:L6 + IF(D6:L6=13.1, 0.2333, IF(D6:L6=13.2, 0.4666, IF(D6:L6=13.3, 0.6999, IF(D6:L6=14.1, 0.2333, IF(D6:L6=14.2, 0.4666, IF(D6:L6=14.3, 0.6999, IF(D6:L6=15.1, 0.2333, IF(D6:L6=15.2, 0.4666, IF(D6:L6=15.3, 0.6999, IF(D6:L6=16.1, 0.2333, IF(D6:L6=16.2, 0.4666, IF(D6:L6=16.3, 0.6999, 0)))))))))))), D3:L3)</f>
        <v>17.216638</v>
      </c>
      <c r="E7" s="53"/>
      <c r="F7" s="53"/>
      <c r="G7" s="53"/>
      <c r="H7" s="53"/>
      <c r="I7" s="53"/>
      <c r="J7" s="53"/>
      <c r="K7" s="53"/>
      <c r="L7" s="54"/>
      <c r="N7" s="2" t="s">
        <v>0</v>
      </c>
      <c r="O7" s="120">
        <v>1</v>
      </c>
      <c r="P7" s="123">
        <v>325000000</v>
      </c>
      <c r="Q7" s="124">
        <v>10000000000000</v>
      </c>
      <c r="R7" s="50"/>
      <c r="S7" s="150">
        <v>1</v>
      </c>
      <c r="T7" s="131">
        <v>4.4873000000000003</v>
      </c>
      <c r="U7" s="132">
        <v>100</v>
      </c>
      <c r="W7" s="137">
        <v>10000</v>
      </c>
      <c r="X7" s="131">
        <v>2.3012000000000001</v>
      </c>
      <c r="Y7" s="137">
        <v>100</v>
      </c>
      <c r="Z7" s="146"/>
      <c r="AA7" s="147">
        <v>100000</v>
      </c>
      <c r="AC7" s="145">
        <v>0.50009999999999999</v>
      </c>
      <c r="AD7" s="139">
        <v>0</v>
      </c>
      <c r="AE7" s="140">
        <v>0.30359999999999998</v>
      </c>
      <c r="AF7" s="139">
        <v>3.4872999999999998</v>
      </c>
      <c r="AG7" s="143">
        <v>1000</v>
      </c>
    </row>
    <row r="8" spans="3:34" x14ac:dyDescent="0.2">
      <c r="N8" s="2" t="s">
        <v>1</v>
      </c>
      <c r="O8" s="120">
        <v>2</v>
      </c>
      <c r="P8" s="123">
        <v>305000000</v>
      </c>
      <c r="Q8" s="124">
        <v>324999999</v>
      </c>
      <c r="R8" s="128">
        <v>0.4</v>
      </c>
      <c r="S8" s="129">
        <v>0.45</v>
      </c>
      <c r="T8" s="131">
        <v>4.3754</v>
      </c>
      <c r="U8" s="132">
        <v>4.4871999999999996</v>
      </c>
      <c r="V8" s="121">
        <v>23.75</v>
      </c>
      <c r="W8" s="137">
        <v>26.25</v>
      </c>
      <c r="X8" s="131">
        <v>2.2848999999999999</v>
      </c>
      <c r="Y8" s="137">
        <v>2.3010999999999999</v>
      </c>
      <c r="Z8" s="148">
        <v>23.333300000000001</v>
      </c>
      <c r="AA8" s="147">
        <v>25</v>
      </c>
      <c r="AB8" s="139">
        <v>0.51</v>
      </c>
      <c r="AC8" s="143">
        <v>0.66669999999999996</v>
      </c>
      <c r="AD8" s="139">
        <v>0.30349999999999999</v>
      </c>
      <c r="AE8" s="140">
        <v>0.60709999999999997</v>
      </c>
      <c r="AF8" s="139">
        <v>3.3637999999999999</v>
      </c>
      <c r="AG8" s="143">
        <v>3.4872000000000001</v>
      </c>
    </row>
    <row r="9" spans="3:34" x14ac:dyDescent="0.2">
      <c r="N9" s="2" t="s">
        <v>2</v>
      </c>
      <c r="O9" s="120">
        <v>3</v>
      </c>
      <c r="P9" s="123">
        <v>285000000</v>
      </c>
      <c r="Q9" s="124">
        <v>304999999</v>
      </c>
      <c r="R9" s="128">
        <v>0.35</v>
      </c>
      <c r="S9" s="129">
        <v>0.39999899999999999</v>
      </c>
      <c r="T9" s="131">
        <v>4.2637999999999998</v>
      </c>
      <c r="U9" s="132">
        <v>4.3753000000000002</v>
      </c>
      <c r="V9" s="121">
        <v>21.25</v>
      </c>
      <c r="W9" s="137">
        <v>23.7499</v>
      </c>
      <c r="X9" s="131">
        <v>2.2686000000000002</v>
      </c>
      <c r="Y9" s="137">
        <v>2.2848000000000002</v>
      </c>
      <c r="Z9" s="148">
        <v>21.666699999999999</v>
      </c>
      <c r="AA9" s="147">
        <v>23.333200000000001</v>
      </c>
      <c r="AB9" s="139">
        <v>0.66679999999999995</v>
      </c>
      <c r="AC9" s="143">
        <v>0.83340000000000003</v>
      </c>
      <c r="AD9" s="139">
        <v>0.60699999999999998</v>
      </c>
      <c r="AE9" s="140">
        <v>0.91069999999999995</v>
      </c>
      <c r="AF9" s="139">
        <v>3.2414999999999998</v>
      </c>
      <c r="AG9" s="143">
        <v>3.3637000000000001</v>
      </c>
    </row>
    <row r="10" spans="3:34" x14ac:dyDescent="0.2">
      <c r="N10" s="2" t="s">
        <v>3</v>
      </c>
      <c r="O10" s="120">
        <v>4</v>
      </c>
      <c r="P10" s="123">
        <v>265000000</v>
      </c>
      <c r="Q10" s="124">
        <v>284999999</v>
      </c>
      <c r="R10" s="128">
        <v>0.3</v>
      </c>
      <c r="S10" s="129">
        <v>0.349999</v>
      </c>
      <c r="T10" s="131">
        <v>4.1527000000000003</v>
      </c>
      <c r="U10" s="132">
        <v>4.2637</v>
      </c>
      <c r="V10" s="121">
        <v>18.75</v>
      </c>
      <c r="W10" s="137">
        <v>21.2499</v>
      </c>
      <c r="X10" s="139">
        <v>2.2523</v>
      </c>
      <c r="Y10" s="143">
        <v>2.2685</v>
      </c>
      <c r="Z10" s="148">
        <v>20</v>
      </c>
      <c r="AA10" s="147">
        <v>21.666599999999999</v>
      </c>
      <c r="AB10" s="139">
        <v>0.83350000000000002</v>
      </c>
      <c r="AC10" s="153">
        <v>1</v>
      </c>
      <c r="AD10" s="139">
        <v>0.91059999999999997</v>
      </c>
      <c r="AE10" s="140">
        <v>1.2142999999999999</v>
      </c>
      <c r="AF10" s="139">
        <v>3.1183999999999998</v>
      </c>
      <c r="AG10" s="143">
        <v>3.2414000000000001</v>
      </c>
    </row>
    <row r="11" spans="3:34" x14ac:dyDescent="0.2">
      <c r="N11" s="2" t="s">
        <v>4</v>
      </c>
      <c r="O11" s="120">
        <v>5</v>
      </c>
      <c r="P11" s="123">
        <v>245000000</v>
      </c>
      <c r="Q11" s="124">
        <v>264999999</v>
      </c>
      <c r="R11" s="128">
        <v>0.26888899999999999</v>
      </c>
      <c r="S11" s="129">
        <v>0.29999900000000002</v>
      </c>
      <c r="T11" s="131">
        <v>4.0415999999999999</v>
      </c>
      <c r="U11" s="132">
        <v>4.1525999999999996</v>
      </c>
      <c r="V11" s="121">
        <v>16.25</v>
      </c>
      <c r="W11" s="137">
        <v>18.7499</v>
      </c>
      <c r="X11" s="139">
        <v>2.2360000000000002</v>
      </c>
      <c r="Y11" s="143">
        <v>2.2522000000000002</v>
      </c>
      <c r="Z11" s="148">
        <v>18.333300000000001</v>
      </c>
      <c r="AA11" s="147">
        <v>19.9999</v>
      </c>
      <c r="AB11" s="139">
        <v>1.0001</v>
      </c>
      <c r="AC11" s="143">
        <v>1.2707999999999999</v>
      </c>
      <c r="AD11" s="139">
        <v>1.2141999999999999</v>
      </c>
      <c r="AE11" s="140">
        <v>1.5179</v>
      </c>
      <c r="AF11" s="139">
        <v>2.9963000000000002</v>
      </c>
      <c r="AG11" s="143">
        <v>3.1183000000000001</v>
      </c>
    </row>
    <row r="12" spans="3:34" x14ac:dyDescent="0.2">
      <c r="N12" s="2" t="s">
        <v>5</v>
      </c>
      <c r="O12" s="120">
        <v>6</v>
      </c>
      <c r="P12" s="123">
        <v>225000000</v>
      </c>
      <c r="Q12" s="124">
        <v>244999999</v>
      </c>
      <c r="R12" s="128">
        <v>0.23777799999999999</v>
      </c>
      <c r="S12" s="129">
        <v>0.26888800000000002</v>
      </c>
      <c r="T12" s="131">
        <v>3.9304999999999999</v>
      </c>
      <c r="U12" s="132">
        <v>4.0415000000000001</v>
      </c>
      <c r="V12" s="121">
        <v>13.75</v>
      </c>
      <c r="W12" s="137">
        <v>16.2499</v>
      </c>
      <c r="X12" s="139">
        <v>2.2197</v>
      </c>
      <c r="Y12" s="143">
        <v>2.2359</v>
      </c>
      <c r="Z12" s="148">
        <v>16.666699999999999</v>
      </c>
      <c r="AA12" s="147">
        <v>18.333200000000001</v>
      </c>
      <c r="AB12" s="139">
        <v>1.2708999999999999</v>
      </c>
      <c r="AC12" s="143">
        <v>1.5416000000000001</v>
      </c>
      <c r="AD12" s="139">
        <v>1.5178</v>
      </c>
      <c r="AE12" s="140">
        <v>1.8213999999999999</v>
      </c>
      <c r="AF12" s="139">
        <v>2.8742000000000001</v>
      </c>
      <c r="AG12" s="143">
        <v>2.9962</v>
      </c>
    </row>
    <row r="13" spans="3:34" x14ac:dyDescent="0.2">
      <c r="N13" s="2" t="s">
        <v>6</v>
      </c>
      <c r="O13" s="120">
        <v>7</v>
      </c>
      <c r="P13" s="123">
        <v>205000000</v>
      </c>
      <c r="Q13" s="124">
        <v>224999999</v>
      </c>
      <c r="R13" s="128">
        <v>0.20666699999999999</v>
      </c>
      <c r="S13" s="129">
        <v>0.23777699999999999</v>
      </c>
      <c r="T13" s="131">
        <v>3.8193999999999999</v>
      </c>
      <c r="U13" s="132">
        <v>3.9304000000000001</v>
      </c>
      <c r="V13" s="121">
        <v>11.25</v>
      </c>
      <c r="W13" s="137">
        <v>13.7499</v>
      </c>
      <c r="X13" s="139">
        <v>2.2033999999999998</v>
      </c>
      <c r="Y13" s="143">
        <v>2.2195999999999998</v>
      </c>
      <c r="Z13" s="148">
        <v>15</v>
      </c>
      <c r="AA13" s="147">
        <v>16.666599999999999</v>
      </c>
      <c r="AB13" s="139">
        <v>1.5417000000000001</v>
      </c>
      <c r="AC13" s="143">
        <v>1.8125</v>
      </c>
      <c r="AD13" s="139">
        <v>1.8212999999999999</v>
      </c>
      <c r="AE13" s="140">
        <v>2.125</v>
      </c>
      <c r="AF13" s="139">
        <v>2.7521</v>
      </c>
      <c r="AG13" s="143">
        <v>2.8740999999999999</v>
      </c>
    </row>
    <row r="14" spans="3:34" x14ac:dyDescent="0.2">
      <c r="N14" s="2" t="s">
        <v>7</v>
      </c>
      <c r="O14" s="120">
        <v>8</v>
      </c>
      <c r="P14" s="123">
        <v>190000000</v>
      </c>
      <c r="Q14" s="124">
        <v>204999999</v>
      </c>
      <c r="R14" s="128">
        <v>0.19</v>
      </c>
      <c r="S14" s="129">
        <v>0.20666599999999999</v>
      </c>
      <c r="T14" s="131">
        <v>3.7082999999999999</v>
      </c>
      <c r="U14" s="132">
        <v>3.8193000000000001</v>
      </c>
      <c r="V14" s="121">
        <v>9.9167000000000005</v>
      </c>
      <c r="W14" s="137">
        <v>11.2499</v>
      </c>
      <c r="X14" s="139">
        <v>2.1871</v>
      </c>
      <c r="Y14" s="143">
        <v>2.2033</v>
      </c>
      <c r="Z14" s="148">
        <v>13.333299999999999</v>
      </c>
      <c r="AA14" s="147">
        <v>14.9999</v>
      </c>
      <c r="AB14" s="139">
        <v>1.8126</v>
      </c>
      <c r="AC14" s="143">
        <v>2.1875</v>
      </c>
      <c r="AD14" s="139">
        <v>2.1248999999999998</v>
      </c>
      <c r="AE14" s="140">
        <v>2.4285999999999999</v>
      </c>
      <c r="AF14" s="139">
        <v>2.6305000000000001</v>
      </c>
      <c r="AG14" s="143">
        <v>2.7519999999999998</v>
      </c>
    </row>
    <row r="15" spans="3:34" x14ac:dyDescent="0.2">
      <c r="N15" s="2" t="s">
        <v>8</v>
      </c>
      <c r="O15" s="120">
        <v>9</v>
      </c>
      <c r="P15" s="123">
        <v>175000000</v>
      </c>
      <c r="Q15" s="124">
        <v>189999999</v>
      </c>
      <c r="R15" s="128">
        <v>0.17333399999999999</v>
      </c>
      <c r="S15" s="129">
        <v>0.189999</v>
      </c>
      <c r="T15" s="131">
        <v>3.5972</v>
      </c>
      <c r="U15" s="132">
        <v>3.7082000000000002</v>
      </c>
      <c r="V15" s="121">
        <v>8.5832999999999995</v>
      </c>
      <c r="W15" s="137">
        <v>9.9166000000000007</v>
      </c>
      <c r="X15" s="139">
        <v>2.1707999999999998</v>
      </c>
      <c r="Y15" s="143">
        <v>2.1869999999999998</v>
      </c>
      <c r="Z15" s="148">
        <v>11.666700000000001</v>
      </c>
      <c r="AA15" s="147">
        <v>13.3332</v>
      </c>
      <c r="AB15" s="139">
        <v>2.1876000000000002</v>
      </c>
      <c r="AC15" s="143">
        <v>2.5625</v>
      </c>
      <c r="AD15" s="139">
        <v>2.4285000000000001</v>
      </c>
      <c r="AE15" s="140">
        <v>2.7321</v>
      </c>
      <c r="AF15" s="139">
        <v>2.5093999999999999</v>
      </c>
      <c r="AG15" s="143">
        <v>2.6303999999999998</v>
      </c>
    </row>
    <row r="16" spans="3:34" x14ac:dyDescent="0.2">
      <c r="N16" s="2" t="s">
        <v>9</v>
      </c>
      <c r="O16" s="120">
        <v>10</v>
      </c>
      <c r="P16" s="123">
        <v>160000000</v>
      </c>
      <c r="Q16" s="124">
        <v>174999999</v>
      </c>
      <c r="R16" s="128">
        <v>0.156667</v>
      </c>
      <c r="S16" s="129">
        <v>0.17333299999999999</v>
      </c>
      <c r="T16" s="131">
        <v>3.4861</v>
      </c>
      <c r="U16" s="132">
        <v>3.5971000000000002</v>
      </c>
      <c r="V16" s="121">
        <v>7.25</v>
      </c>
      <c r="W16" s="137">
        <v>8.5831999999999997</v>
      </c>
      <c r="X16" s="139">
        <v>2.1545000000000001</v>
      </c>
      <c r="Y16" s="143">
        <v>2.1707000000000001</v>
      </c>
      <c r="Z16" s="148">
        <v>10</v>
      </c>
      <c r="AA16" s="147">
        <v>11.666600000000001</v>
      </c>
      <c r="AB16" s="139">
        <v>2.5627</v>
      </c>
      <c r="AC16" s="143">
        <v>2.9375</v>
      </c>
      <c r="AD16" s="139">
        <v>2.7320000000000002</v>
      </c>
      <c r="AE16" s="140">
        <v>3.0356999999999998</v>
      </c>
      <c r="AF16" s="139">
        <v>2.3883000000000001</v>
      </c>
      <c r="AG16" s="143">
        <v>2.5093000000000001</v>
      </c>
    </row>
    <row r="17" spans="14:33" x14ac:dyDescent="0.2">
      <c r="N17" s="2" t="s">
        <v>10</v>
      </c>
      <c r="O17" s="120">
        <v>11</v>
      </c>
      <c r="P17" s="123">
        <v>145000000</v>
      </c>
      <c r="Q17" s="124">
        <v>159999999</v>
      </c>
      <c r="R17" s="128">
        <v>0.14000000000000001</v>
      </c>
      <c r="S17" s="129">
        <v>0.156666</v>
      </c>
      <c r="T17" s="131">
        <v>3.3754</v>
      </c>
      <c r="U17" s="132">
        <v>3.4860000000000002</v>
      </c>
      <c r="V17" s="121">
        <v>6.2083000000000004</v>
      </c>
      <c r="W17" s="137">
        <v>7.2499000000000002</v>
      </c>
      <c r="X17" s="139">
        <v>1.8702000000000001</v>
      </c>
      <c r="Y17" s="143">
        <v>2.1543999999999999</v>
      </c>
      <c r="Z17" s="148">
        <v>8.3332999999999995</v>
      </c>
      <c r="AA17" s="147">
        <v>9.9999000000000002</v>
      </c>
      <c r="AB17" s="139">
        <v>2.9376000000000002</v>
      </c>
      <c r="AC17" s="143">
        <v>3.3957999999999999</v>
      </c>
      <c r="AD17" s="139">
        <v>3.0356000000000001</v>
      </c>
      <c r="AE17" s="140">
        <v>3.3393000000000002</v>
      </c>
      <c r="AF17" s="139">
        <v>2.2671999999999999</v>
      </c>
      <c r="AG17" s="143">
        <v>2.3881999999999999</v>
      </c>
    </row>
    <row r="18" spans="14:33" x14ac:dyDescent="0.2">
      <c r="N18" s="2" t="s">
        <v>11</v>
      </c>
      <c r="O18" s="120">
        <v>12</v>
      </c>
      <c r="P18" s="123">
        <v>130000000</v>
      </c>
      <c r="Q18" s="124">
        <v>144999999</v>
      </c>
      <c r="R18" s="128">
        <v>0.123334</v>
      </c>
      <c r="S18" s="129">
        <v>0.13999900000000001</v>
      </c>
      <c r="T18" s="131">
        <v>2.5648</v>
      </c>
      <c r="U18" s="132">
        <v>3.3753000000000002</v>
      </c>
      <c r="V18" s="121">
        <v>5.1666999999999996</v>
      </c>
      <c r="W18" s="137">
        <v>6.2081999999999997</v>
      </c>
      <c r="X18" s="139">
        <v>1.6447000000000001</v>
      </c>
      <c r="Y18" s="143">
        <v>1.8701000000000001</v>
      </c>
      <c r="Z18" s="148">
        <v>6.6666999999999996</v>
      </c>
      <c r="AA18" s="147">
        <v>8.3331999999999997</v>
      </c>
      <c r="AB18" s="139">
        <v>3.3959000000000001</v>
      </c>
      <c r="AC18" s="143">
        <v>3.8540999999999999</v>
      </c>
      <c r="AD18" s="139">
        <v>3.3391999999999999</v>
      </c>
      <c r="AE18" s="140">
        <v>3.6429</v>
      </c>
      <c r="AF18" s="139">
        <v>2.1461000000000001</v>
      </c>
      <c r="AG18" s="143">
        <v>2.2671000000000001</v>
      </c>
    </row>
    <row r="19" spans="14:33" x14ac:dyDescent="0.2">
      <c r="N19" s="2" t="s">
        <v>12</v>
      </c>
      <c r="O19" s="120">
        <v>13.1</v>
      </c>
      <c r="P19" s="123">
        <v>120000000</v>
      </c>
      <c r="Q19" s="124">
        <v>129999999</v>
      </c>
      <c r="R19" s="128">
        <v>0.11777799999999999</v>
      </c>
      <c r="S19" s="129">
        <v>0.123333</v>
      </c>
      <c r="T19" s="131">
        <v>1.8536999999999999</v>
      </c>
      <c r="U19" s="132">
        <v>2.5647000000000002</v>
      </c>
      <c r="V19" s="121">
        <v>4.8193999999999999</v>
      </c>
      <c r="W19" s="137">
        <v>5.1665999999999999</v>
      </c>
      <c r="X19" s="139">
        <v>1.5215000000000001</v>
      </c>
      <c r="Y19" s="143">
        <v>1.6446000000000001</v>
      </c>
      <c r="Z19" s="148">
        <v>6.1111000000000004</v>
      </c>
      <c r="AA19" s="147">
        <v>6.6665999999999999</v>
      </c>
      <c r="AB19" s="139">
        <v>3.8542000000000001</v>
      </c>
      <c r="AC19" s="143">
        <v>4.0068999999999999</v>
      </c>
      <c r="AD19" s="139">
        <v>3.6427999999999998</v>
      </c>
      <c r="AE19" s="140">
        <v>3.9464000000000001</v>
      </c>
      <c r="AF19" s="139">
        <v>2.0249999999999999</v>
      </c>
      <c r="AG19" s="143">
        <v>2.1459999999999999</v>
      </c>
    </row>
    <row r="20" spans="14:33" x14ac:dyDescent="0.2">
      <c r="N20" s="2"/>
      <c r="O20" s="120">
        <v>13.2</v>
      </c>
      <c r="P20" s="123">
        <v>110000000</v>
      </c>
      <c r="Q20" s="124">
        <v>119999999</v>
      </c>
      <c r="R20" s="128">
        <v>0.112222</v>
      </c>
      <c r="S20" s="129">
        <v>0.11777700000000001</v>
      </c>
      <c r="T20" s="131">
        <v>1.6435999999999999</v>
      </c>
      <c r="U20" s="132">
        <v>1.8535999999999999</v>
      </c>
      <c r="V20" s="121">
        <v>4.4722</v>
      </c>
      <c r="W20" s="137">
        <v>4.8193000000000001</v>
      </c>
      <c r="X20" s="139">
        <v>1.4483999999999999</v>
      </c>
      <c r="Y20" s="143">
        <v>1.5214000000000001</v>
      </c>
      <c r="Z20" s="148">
        <v>5.5555000000000003</v>
      </c>
      <c r="AA20" s="147">
        <v>6.1109999999999998</v>
      </c>
      <c r="AB20" s="139">
        <v>4.0069999999999997</v>
      </c>
      <c r="AC20" s="143">
        <v>4.1597</v>
      </c>
      <c r="AD20" s="139">
        <v>3.9462999999999999</v>
      </c>
      <c r="AE20" s="140">
        <v>4.25</v>
      </c>
      <c r="AF20" s="139">
        <v>1.9038999999999999</v>
      </c>
      <c r="AG20" s="143">
        <v>2.0249000000000001</v>
      </c>
    </row>
    <row r="21" spans="14:33" x14ac:dyDescent="0.2">
      <c r="N21" s="2"/>
      <c r="O21" s="120">
        <v>13.3</v>
      </c>
      <c r="P21" s="123">
        <v>100000000</v>
      </c>
      <c r="Q21" s="124">
        <v>109999999</v>
      </c>
      <c r="R21" s="128">
        <v>0.106667</v>
      </c>
      <c r="S21" s="129">
        <v>0.112221</v>
      </c>
      <c r="T21" s="131">
        <v>1.4335</v>
      </c>
      <c r="U21" s="132">
        <v>1.6435</v>
      </c>
      <c r="V21" s="121">
        <v>4.125</v>
      </c>
      <c r="W21" s="137">
        <v>4.4721000000000002</v>
      </c>
      <c r="X21" s="139">
        <v>1.3743000000000001</v>
      </c>
      <c r="Y21" s="143">
        <v>1.4482999999999999</v>
      </c>
      <c r="Z21" s="148">
        <v>5</v>
      </c>
      <c r="AA21" s="147">
        <v>5.5553999999999997</v>
      </c>
      <c r="AB21" s="139">
        <v>4.1597999999999997</v>
      </c>
      <c r="AC21" s="143">
        <v>4.3125</v>
      </c>
      <c r="AD21" s="139">
        <v>4.2499000000000002</v>
      </c>
      <c r="AE21" s="140">
        <v>4.5536000000000003</v>
      </c>
      <c r="AF21" s="139">
        <v>1.7827999999999999</v>
      </c>
      <c r="AG21" s="143">
        <v>1.9037999999999999</v>
      </c>
    </row>
    <row r="22" spans="14:33" x14ac:dyDescent="0.2">
      <c r="N22" s="2" t="s">
        <v>13</v>
      </c>
      <c r="O22" s="120">
        <v>14.1</v>
      </c>
      <c r="P22" s="123">
        <v>90000000</v>
      </c>
      <c r="Q22" s="124">
        <v>99999999</v>
      </c>
      <c r="R22" s="128">
        <v>0.101296</v>
      </c>
      <c r="S22" s="129">
        <v>0.106666</v>
      </c>
      <c r="T22" s="131">
        <v>1.2234</v>
      </c>
      <c r="U22" s="132">
        <v>1.4334</v>
      </c>
      <c r="V22" s="121">
        <v>3.8611</v>
      </c>
      <c r="W22" s="137">
        <v>4.1249000000000002</v>
      </c>
      <c r="X22" s="139">
        <v>1.3002</v>
      </c>
      <c r="Y22" s="143">
        <v>1.3742000000000001</v>
      </c>
      <c r="Z22" s="148">
        <v>4.4443999999999999</v>
      </c>
      <c r="AA22" s="147">
        <v>4.9999000000000002</v>
      </c>
      <c r="AB22" s="139">
        <v>4.3125999999999998</v>
      </c>
      <c r="AC22" s="143">
        <v>4.5068999999999999</v>
      </c>
      <c r="AD22" s="139">
        <v>4.5534999999999997</v>
      </c>
      <c r="AE22" s="140">
        <v>4.8571</v>
      </c>
      <c r="AF22" s="139">
        <v>1.6617</v>
      </c>
      <c r="AG22" s="143">
        <v>1.7827</v>
      </c>
    </row>
    <row r="23" spans="14:33" x14ac:dyDescent="0.2">
      <c r="N23" s="2"/>
      <c r="O23" s="120">
        <v>14.2</v>
      </c>
      <c r="P23" s="123">
        <v>80000000</v>
      </c>
      <c r="Q23" s="124">
        <v>89999999</v>
      </c>
      <c r="R23" s="128">
        <v>9.5925999999999997E-2</v>
      </c>
      <c r="S23" s="129">
        <v>0.101295</v>
      </c>
      <c r="T23" s="131">
        <v>1.1733</v>
      </c>
      <c r="U23" s="132">
        <v>1.2233000000000001</v>
      </c>
      <c r="V23" s="121">
        <v>3.5972</v>
      </c>
      <c r="W23" s="137">
        <v>3.8610000000000002</v>
      </c>
      <c r="X23" s="139">
        <v>1.2261</v>
      </c>
      <c r="Y23" s="143">
        <v>1.3001</v>
      </c>
      <c r="Z23" s="148">
        <v>3.8887999999999998</v>
      </c>
      <c r="AA23" s="147">
        <v>4.4443000000000001</v>
      </c>
      <c r="AB23" s="139">
        <v>4.5069999999999997</v>
      </c>
      <c r="AC23" s="143">
        <v>4.7013999999999996</v>
      </c>
      <c r="AD23" s="139">
        <v>4.8570000000000002</v>
      </c>
      <c r="AE23" s="140">
        <v>5.1607000000000003</v>
      </c>
      <c r="AF23" s="139">
        <v>1.5406</v>
      </c>
      <c r="AG23" s="143">
        <v>1.6616</v>
      </c>
    </row>
    <row r="24" spans="14:33" x14ac:dyDescent="0.2">
      <c r="N24" s="2"/>
      <c r="O24" s="120">
        <v>14.3</v>
      </c>
      <c r="P24" s="123">
        <v>70000000</v>
      </c>
      <c r="Q24" s="124">
        <v>79999999</v>
      </c>
      <c r="R24" s="128">
        <v>9.0555999999999998E-2</v>
      </c>
      <c r="S24" s="129">
        <v>9.5924999999999996E-2</v>
      </c>
      <c r="T24" s="131">
        <v>1.1437999999999999</v>
      </c>
      <c r="U24" s="132">
        <v>1.1732</v>
      </c>
      <c r="V24" s="121">
        <v>3.3332999999999999</v>
      </c>
      <c r="W24" s="137">
        <v>3.5971000000000002</v>
      </c>
      <c r="X24" s="139">
        <v>1.1519999999999999</v>
      </c>
      <c r="Y24" s="143">
        <v>1.226</v>
      </c>
      <c r="Z24" s="148">
        <v>3.3332999999999999</v>
      </c>
      <c r="AA24" s="147">
        <v>3.8887</v>
      </c>
      <c r="AB24" s="139">
        <v>4.7015000000000002</v>
      </c>
      <c r="AC24" s="143">
        <v>4.8958000000000004</v>
      </c>
      <c r="AD24" s="139">
        <v>5.1605999999999996</v>
      </c>
      <c r="AE24" s="140">
        <v>5.4642999999999997</v>
      </c>
      <c r="AF24" s="139">
        <v>1.4195</v>
      </c>
      <c r="AG24" s="143">
        <v>1.5405</v>
      </c>
    </row>
    <row r="25" spans="14:33" x14ac:dyDescent="0.2">
      <c r="N25" s="2" t="s">
        <v>14</v>
      </c>
      <c r="O25" s="120">
        <v>15.1</v>
      </c>
      <c r="P25" s="123">
        <v>60000000</v>
      </c>
      <c r="Q25" s="124">
        <v>69999999</v>
      </c>
      <c r="R25" s="128">
        <v>8.5184999999999997E-2</v>
      </c>
      <c r="S25" s="129">
        <v>9.0554999999999997E-2</v>
      </c>
      <c r="T25" s="131">
        <v>1.0237000000000001</v>
      </c>
      <c r="U25" s="132">
        <v>1.1436999999999999</v>
      </c>
      <c r="V25" s="121">
        <v>3.0693999999999999</v>
      </c>
      <c r="W25" s="137">
        <v>3.3332000000000002</v>
      </c>
      <c r="X25" s="139">
        <v>1.0779000000000001</v>
      </c>
      <c r="Y25" s="143">
        <v>1.1518999999999999</v>
      </c>
      <c r="Z25" s="148">
        <v>2.7776999999999998</v>
      </c>
      <c r="AA25" s="147">
        <v>3.3332000000000002</v>
      </c>
      <c r="AB25" s="139">
        <v>4.8959000000000001</v>
      </c>
      <c r="AC25" s="143">
        <v>5.0902000000000003</v>
      </c>
      <c r="AD25" s="139">
        <v>5.4641999999999999</v>
      </c>
      <c r="AE25" s="140">
        <v>5.7679</v>
      </c>
      <c r="AF25" s="139">
        <v>1.2984</v>
      </c>
      <c r="AG25" s="143">
        <v>1.4194</v>
      </c>
    </row>
    <row r="26" spans="14:33" x14ac:dyDescent="0.2">
      <c r="N26" s="2"/>
      <c r="O26" s="120">
        <v>15.2</v>
      </c>
      <c r="P26" s="123">
        <v>55000000</v>
      </c>
      <c r="Q26" s="124">
        <v>59999999</v>
      </c>
      <c r="R26" s="128">
        <v>7.9813999999999996E-2</v>
      </c>
      <c r="S26" s="129">
        <v>8.5183999999999996E-2</v>
      </c>
      <c r="T26" s="131">
        <v>0.95379999999999998</v>
      </c>
      <c r="U26" s="132">
        <v>1.0236000000000001</v>
      </c>
      <c r="V26" s="121">
        <v>2.8054999999999999</v>
      </c>
      <c r="W26" s="137">
        <v>3.0693000000000001</v>
      </c>
      <c r="X26" s="139">
        <v>1.0038</v>
      </c>
      <c r="Y26" s="143">
        <v>1.0778000000000001</v>
      </c>
      <c r="Z26" s="148">
        <v>2.2222</v>
      </c>
      <c r="AA26" s="147">
        <v>2.7776000000000001</v>
      </c>
      <c r="AB26" s="139">
        <v>5.0903</v>
      </c>
      <c r="AC26" s="143">
        <v>5.2847</v>
      </c>
      <c r="AD26" s="139">
        <v>5.7678000000000003</v>
      </c>
      <c r="AE26" s="140">
        <v>6.0713999999999997</v>
      </c>
      <c r="AF26" s="139">
        <v>1.1773</v>
      </c>
      <c r="AG26" s="143">
        <v>1.2983</v>
      </c>
    </row>
    <row r="27" spans="14:33" x14ac:dyDescent="0.2">
      <c r="N27" s="2"/>
      <c r="O27" s="120">
        <v>15.3</v>
      </c>
      <c r="P27" s="123">
        <v>50000000</v>
      </c>
      <c r="Q27" s="124">
        <v>54999999</v>
      </c>
      <c r="R27" s="128">
        <v>7.4443999999999996E-2</v>
      </c>
      <c r="S27" s="129">
        <v>7.9812999999999995E-2</v>
      </c>
      <c r="T27" s="131">
        <v>0.92349999999999999</v>
      </c>
      <c r="U27" s="132">
        <v>0.95369999999999999</v>
      </c>
      <c r="V27" s="121">
        <v>2.5417000000000001</v>
      </c>
      <c r="W27" s="137">
        <v>2.8054000000000001</v>
      </c>
      <c r="X27" s="139">
        <v>0.92969999999999997</v>
      </c>
      <c r="Y27" s="143">
        <v>1.0037</v>
      </c>
      <c r="Z27" s="148">
        <v>1.6667000000000001</v>
      </c>
      <c r="AA27" s="147">
        <v>2.2221000000000002</v>
      </c>
      <c r="AB27" s="139">
        <v>5.2847999999999997</v>
      </c>
      <c r="AC27" s="143">
        <v>5.4790999999999999</v>
      </c>
      <c r="AD27" s="139">
        <v>6.0712999999999999</v>
      </c>
      <c r="AE27" s="140">
        <v>6.375</v>
      </c>
      <c r="AF27" s="139">
        <v>1.0562</v>
      </c>
      <c r="AG27" s="143">
        <v>1.1772</v>
      </c>
    </row>
    <row r="28" spans="14:33" x14ac:dyDescent="0.2">
      <c r="N28" s="2" t="s">
        <v>15</v>
      </c>
      <c r="O28" s="120">
        <v>16.100000000000001</v>
      </c>
      <c r="P28" s="123">
        <v>45000000</v>
      </c>
      <c r="Q28" s="124">
        <v>49999999</v>
      </c>
      <c r="R28" s="128">
        <v>6.9072999999999996E-2</v>
      </c>
      <c r="S28" s="129">
        <v>7.4442999999999995E-2</v>
      </c>
      <c r="T28" s="131">
        <v>0.81340000000000001</v>
      </c>
      <c r="U28" s="132">
        <v>0.9234</v>
      </c>
      <c r="V28" s="121">
        <v>2.2778</v>
      </c>
      <c r="W28" s="137">
        <v>2.5415999999999999</v>
      </c>
      <c r="X28" s="139">
        <v>0.85560000000000003</v>
      </c>
      <c r="Y28" s="143">
        <v>0.92959999999999998</v>
      </c>
      <c r="Z28" s="148">
        <v>1.1111</v>
      </c>
      <c r="AA28" s="147">
        <v>1.6666000000000001</v>
      </c>
      <c r="AB28" s="139">
        <v>5.4791999999999996</v>
      </c>
      <c r="AC28" s="143">
        <v>5.6736000000000004</v>
      </c>
      <c r="AD28" s="139">
        <v>6.3749000000000002</v>
      </c>
      <c r="AE28" s="140">
        <v>6.6786000000000003</v>
      </c>
      <c r="AF28" s="139">
        <v>0.93510000000000004</v>
      </c>
      <c r="AG28" s="143">
        <v>1.0561</v>
      </c>
    </row>
    <row r="29" spans="14:33" x14ac:dyDescent="0.2">
      <c r="N29" s="2"/>
      <c r="O29" s="120">
        <v>16.2</v>
      </c>
      <c r="P29" s="123">
        <v>40000000</v>
      </c>
      <c r="Q29" s="124">
        <v>44999999</v>
      </c>
      <c r="R29" s="128">
        <v>6.3702999999999996E-2</v>
      </c>
      <c r="S29" s="129">
        <v>6.9071999999999995E-2</v>
      </c>
      <c r="T29" s="131">
        <v>0.70330000000000004</v>
      </c>
      <c r="U29" s="132">
        <v>0.81330000000000002</v>
      </c>
      <c r="V29" s="121">
        <v>2.0139</v>
      </c>
      <c r="W29" s="137">
        <v>2.2776999999999998</v>
      </c>
      <c r="X29" s="139">
        <v>0.78149999999999997</v>
      </c>
      <c r="Y29" s="143">
        <v>0.85550000000000004</v>
      </c>
      <c r="Z29" s="148">
        <v>0.55549999999999999</v>
      </c>
      <c r="AA29" s="147">
        <v>1.111</v>
      </c>
      <c r="AB29" s="139">
        <v>5.6737000000000002</v>
      </c>
      <c r="AC29" s="143">
        <v>5.8680000000000003</v>
      </c>
      <c r="AD29" s="139">
        <v>6.6784999999999997</v>
      </c>
      <c r="AE29" s="140">
        <v>6.9821</v>
      </c>
      <c r="AF29" s="139">
        <v>0.81399999999999995</v>
      </c>
      <c r="AG29" s="143">
        <v>0.93500000000000005</v>
      </c>
    </row>
    <row r="30" spans="14:33" x14ac:dyDescent="0.2">
      <c r="N30" s="2"/>
      <c r="O30" s="120">
        <v>16.3</v>
      </c>
      <c r="P30" s="123">
        <v>35000000</v>
      </c>
      <c r="Q30" s="124">
        <v>39999999</v>
      </c>
      <c r="R30" s="128">
        <v>5.8333000000000003E-2</v>
      </c>
      <c r="S30" s="129">
        <v>6.3701999999999995E-2</v>
      </c>
      <c r="T30" s="131">
        <v>0.59319999999999995</v>
      </c>
      <c r="U30" s="132">
        <v>0.70320000000000005</v>
      </c>
      <c r="V30" s="121">
        <v>1.75</v>
      </c>
      <c r="W30" s="137">
        <v>2.0137999999999998</v>
      </c>
      <c r="X30" s="139">
        <v>0.70740000000000003</v>
      </c>
      <c r="Y30" s="143">
        <v>0.78139999999999998</v>
      </c>
      <c r="Z30" s="148">
        <v>0</v>
      </c>
      <c r="AA30" s="147">
        <v>0.55549999999999999</v>
      </c>
      <c r="AB30" s="139">
        <v>5.8681000000000001</v>
      </c>
      <c r="AC30" s="143">
        <v>6.0625</v>
      </c>
      <c r="AD30" s="139">
        <v>6.9820000000000002</v>
      </c>
      <c r="AE30" s="140">
        <v>7.2857000000000003</v>
      </c>
      <c r="AF30" s="139">
        <v>0.69289999999999996</v>
      </c>
      <c r="AG30" s="143">
        <v>0.81389999999999996</v>
      </c>
    </row>
    <row r="31" spans="14:33" ht="16" x14ac:dyDescent="0.2">
      <c r="N31" s="2" t="s">
        <v>16</v>
      </c>
      <c r="O31" s="120">
        <v>17</v>
      </c>
      <c r="P31" s="123">
        <v>30000000</v>
      </c>
      <c r="Q31" s="124">
        <v>34999999</v>
      </c>
      <c r="R31" s="128">
        <v>4.7222E-2</v>
      </c>
      <c r="S31" s="129">
        <v>5.8332000000000002E-2</v>
      </c>
      <c r="T31" s="133">
        <v>0.48309999999999997</v>
      </c>
      <c r="U31" s="134">
        <v>0.59309999999999996</v>
      </c>
      <c r="V31" s="121">
        <v>1.4375</v>
      </c>
      <c r="W31" s="137">
        <v>1.7499</v>
      </c>
      <c r="X31" s="139">
        <v>0.68330000000000002</v>
      </c>
      <c r="Y31" s="143">
        <v>0.70730000000000004</v>
      </c>
      <c r="Z31" s="148">
        <v>-1.6667000000000001</v>
      </c>
      <c r="AA31" s="147" t="s">
        <v>783</v>
      </c>
      <c r="AB31" s="139">
        <v>6.0625999999999998</v>
      </c>
      <c r="AC31" s="143">
        <v>6.8540999999999999</v>
      </c>
      <c r="AD31" s="139">
        <v>7.2855999999999996</v>
      </c>
      <c r="AE31" s="140">
        <v>7.5892999999999997</v>
      </c>
      <c r="AF31" s="139">
        <v>0.57179999999999997</v>
      </c>
      <c r="AG31" s="143">
        <v>0.69279999999999997</v>
      </c>
    </row>
    <row r="32" spans="14:33" x14ac:dyDescent="0.2">
      <c r="N32" s="2" t="s">
        <v>17</v>
      </c>
      <c r="O32" s="120">
        <v>18</v>
      </c>
      <c r="P32" s="123">
        <v>20000000</v>
      </c>
      <c r="Q32" s="124">
        <v>29999999</v>
      </c>
      <c r="R32" s="128">
        <v>3.6110999999999997E-2</v>
      </c>
      <c r="S32" s="129">
        <v>4.7220999999999999E-2</v>
      </c>
      <c r="T32" s="133">
        <v>0.373</v>
      </c>
      <c r="U32" s="134">
        <v>0.48299999999999998</v>
      </c>
      <c r="V32" s="121">
        <v>1.125</v>
      </c>
      <c r="W32" s="137">
        <v>1.4374</v>
      </c>
      <c r="X32" s="139">
        <v>0.65920000000000001</v>
      </c>
      <c r="Y32" s="143">
        <v>0.68320000000000003</v>
      </c>
      <c r="Z32" s="148">
        <v>-3.3332999999999999</v>
      </c>
      <c r="AA32" s="147">
        <v>-1.6668000000000001</v>
      </c>
      <c r="AB32" s="139">
        <v>6.8541999999999996</v>
      </c>
      <c r="AC32" s="143">
        <v>7.6458000000000004</v>
      </c>
      <c r="AD32" s="139">
        <v>7.5891999999999999</v>
      </c>
      <c r="AE32" s="140">
        <v>7.8929</v>
      </c>
      <c r="AF32" s="139">
        <v>0.45069999999999999</v>
      </c>
      <c r="AG32" s="143">
        <v>0.57169999999999999</v>
      </c>
    </row>
    <row r="33" spans="14:33" x14ac:dyDescent="0.2">
      <c r="N33" s="2" t="s">
        <v>18</v>
      </c>
      <c r="O33" s="120">
        <v>19</v>
      </c>
      <c r="P33" s="123">
        <v>15000000</v>
      </c>
      <c r="Q33" s="124">
        <v>19999999</v>
      </c>
      <c r="R33" s="128">
        <v>2.5000000000000001E-2</v>
      </c>
      <c r="S33" s="129">
        <v>3.6110000000000003E-2</v>
      </c>
      <c r="T33" s="133">
        <v>0.26300000000000001</v>
      </c>
      <c r="U33" s="134">
        <v>0.373</v>
      </c>
      <c r="V33" s="121">
        <v>0.8125</v>
      </c>
      <c r="W33" s="137">
        <v>1.1249</v>
      </c>
      <c r="X33" s="139">
        <v>0.65049999999999997</v>
      </c>
      <c r="Y33" s="143">
        <v>0.65910000000000002</v>
      </c>
      <c r="Z33" s="148">
        <v>-5</v>
      </c>
      <c r="AA33" s="147">
        <v>-3.3334000000000001</v>
      </c>
      <c r="AB33" s="139">
        <v>7.6459000000000001</v>
      </c>
      <c r="AC33" s="143">
        <v>8.4375</v>
      </c>
      <c r="AD33" s="139">
        <v>7.8928000000000003</v>
      </c>
      <c r="AE33" s="140">
        <v>8.1964000000000006</v>
      </c>
      <c r="AF33" s="139">
        <v>0.3296</v>
      </c>
      <c r="AG33" s="143">
        <v>0.4506</v>
      </c>
    </row>
    <row r="34" spans="14:33" ht="17" thickBot="1" x14ac:dyDescent="0.25">
      <c r="N34" s="2" t="s">
        <v>19</v>
      </c>
      <c r="O34" s="120">
        <v>20</v>
      </c>
      <c r="P34" s="125">
        <v>10000000</v>
      </c>
      <c r="Q34" s="126">
        <v>14999999</v>
      </c>
      <c r="S34" s="151">
        <v>2.4999E-2</v>
      </c>
      <c r="T34" s="130" t="s">
        <v>778</v>
      </c>
      <c r="U34" s="135">
        <v>0.26300000000000001</v>
      </c>
      <c r="W34" s="136">
        <v>0.81240000000000001</v>
      </c>
      <c r="X34" s="141" t="s">
        <v>779</v>
      </c>
      <c r="Y34" s="144">
        <v>0.65039999999999998</v>
      </c>
      <c r="AA34" s="149">
        <v>-5.0000999999999998</v>
      </c>
      <c r="AC34" s="141">
        <v>100</v>
      </c>
      <c r="AD34" s="141">
        <v>8.1963000000000008</v>
      </c>
      <c r="AE34" s="142">
        <v>1000</v>
      </c>
      <c r="AF34" s="141" t="s">
        <v>783</v>
      </c>
      <c r="AG34" s="144">
        <v>0.32950000000000002</v>
      </c>
    </row>
    <row r="35" spans="14:33" x14ac:dyDescent="0.2">
      <c r="AB35" s="119" t="s">
        <v>765</v>
      </c>
      <c r="AC35" s="119"/>
      <c r="AD35" s="119" t="s">
        <v>765</v>
      </c>
    </row>
    <row r="41" spans="14:33" ht="16" x14ac:dyDescent="0.2">
      <c r="W41" s="46">
        <v>2.2685</v>
      </c>
      <c r="X41" s="46">
        <v>2.2523</v>
      </c>
      <c r="Y41" s="111" t="s">
        <v>780</v>
      </c>
      <c r="Z41" s="111" t="s">
        <v>781</v>
      </c>
      <c r="AC41" s="46"/>
      <c r="AE41" s="111" t="s">
        <v>780</v>
      </c>
      <c r="AF41" s="111" t="s">
        <v>781</v>
      </c>
    </row>
    <row r="42" spans="14:33" ht="16" x14ac:dyDescent="0.2">
      <c r="W42" s="46">
        <v>2.2522000000000002</v>
      </c>
      <c r="X42" s="46">
        <v>2.2360000000000002</v>
      </c>
      <c r="Y42" s="46">
        <v>3.4872999999999998</v>
      </c>
      <c r="Z42" s="46" t="s">
        <v>782</v>
      </c>
      <c r="AF42" s="46"/>
    </row>
    <row r="43" spans="14:33" x14ac:dyDescent="0.2">
      <c r="W43" s="46">
        <v>2.2359</v>
      </c>
      <c r="X43" s="46">
        <v>2.2197</v>
      </c>
      <c r="Y43" s="46">
        <v>3.3637999999999999</v>
      </c>
      <c r="Z43" s="46">
        <v>3.4872000000000001</v>
      </c>
    </row>
    <row r="44" spans="14:33" x14ac:dyDescent="0.2">
      <c r="W44" s="46">
        <v>2.2195999999999998</v>
      </c>
      <c r="X44" s="46">
        <v>2.2033999999999998</v>
      </c>
      <c r="Y44" s="46">
        <v>3.2414999999999998</v>
      </c>
      <c r="Z44" s="46">
        <v>3.3637000000000001</v>
      </c>
    </row>
    <row r="45" spans="14:33" x14ac:dyDescent="0.2">
      <c r="W45" s="46">
        <v>2.2033</v>
      </c>
      <c r="X45" s="46">
        <v>2.1871</v>
      </c>
      <c r="Y45" s="46">
        <v>3.1183999999999998</v>
      </c>
      <c r="Z45" s="46">
        <v>3.2414000000000001</v>
      </c>
    </row>
    <row r="46" spans="14:33" x14ac:dyDescent="0.2">
      <c r="W46" s="46">
        <v>2.1869999999999998</v>
      </c>
      <c r="X46" s="46">
        <v>2.1707999999999998</v>
      </c>
      <c r="Y46" s="46">
        <v>2.9963000000000002</v>
      </c>
      <c r="Z46" s="46">
        <v>3.1183000000000001</v>
      </c>
    </row>
    <row r="47" spans="14:33" x14ac:dyDescent="0.2">
      <c r="W47" s="46">
        <v>2.1707000000000001</v>
      </c>
      <c r="X47" s="46">
        <v>2.1545000000000001</v>
      </c>
      <c r="Y47" s="46">
        <v>2.8742000000000001</v>
      </c>
      <c r="Z47" s="46">
        <v>2.9962</v>
      </c>
    </row>
    <row r="48" spans="14:33" x14ac:dyDescent="0.2">
      <c r="W48" s="46">
        <v>2.1543999999999999</v>
      </c>
      <c r="X48" s="46">
        <v>1.8702000000000001</v>
      </c>
      <c r="Y48" s="46">
        <v>2.7521</v>
      </c>
      <c r="Z48" s="46">
        <v>2.8740999999999999</v>
      </c>
    </row>
    <row r="49" spans="23:26" x14ac:dyDescent="0.2">
      <c r="W49" s="46">
        <v>1.8701000000000001</v>
      </c>
      <c r="X49" s="46">
        <v>1.6447000000000001</v>
      </c>
      <c r="Y49" s="46">
        <v>2.6305000000000001</v>
      </c>
      <c r="Z49" s="46">
        <v>2.7519999999999998</v>
      </c>
    </row>
    <row r="50" spans="23:26" x14ac:dyDescent="0.2">
      <c r="W50" s="46">
        <v>1.6446000000000001</v>
      </c>
      <c r="X50" s="46">
        <v>1.5215000000000001</v>
      </c>
      <c r="Y50" s="46">
        <v>2.5093999999999999</v>
      </c>
      <c r="Z50" s="46">
        <v>2.6303999999999998</v>
      </c>
    </row>
    <row r="51" spans="23:26" x14ac:dyDescent="0.2">
      <c r="W51" s="46">
        <v>1.5214000000000001</v>
      </c>
      <c r="X51" s="46">
        <v>1.4483999999999999</v>
      </c>
      <c r="Y51" s="46">
        <v>2.3883000000000001</v>
      </c>
      <c r="Z51" s="46">
        <v>2.5093000000000001</v>
      </c>
    </row>
    <row r="52" spans="23:26" x14ac:dyDescent="0.2">
      <c r="W52" s="46">
        <v>1.4482999999999999</v>
      </c>
      <c r="X52" s="46">
        <v>1.3743000000000001</v>
      </c>
      <c r="Y52" s="46">
        <v>2.2671999999999999</v>
      </c>
      <c r="Z52" s="46">
        <v>2.3881999999999999</v>
      </c>
    </row>
    <row r="53" spans="23:26" x14ac:dyDescent="0.2">
      <c r="W53" s="46">
        <v>1.3742000000000001</v>
      </c>
      <c r="X53" s="46">
        <v>1.3002</v>
      </c>
      <c r="Y53" s="46">
        <v>2.1461000000000001</v>
      </c>
      <c r="Z53" s="46">
        <v>2.2671000000000001</v>
      </c>
    </row>
    <row r="54" spans="23:26" x14ac:dyDescent="0.2">
      <c r="W54" s="46">
        <v>1.3001</v>
      </c>
      <c r="X54" s="46">
        <v>1.2261</v>
      </c>
      <c r="Y54" s="46">
        <v>2.0249999999999999</v>
      </c>
      <c r="Z54" s="46">
        <v>2.1459999999999999</v>
      </c>
    </row>
    <row r="55" spans="23:26" x14ac:dyDescent="0.2">
      <c r="W55" s="46">
        <v>1.226</v>
      </c>
      <c r="X55" s="46">
        <v>1.1519999999999999</v>
      </c>
      <c r="Y55" s="46">
        <v>1.9038999999999999</v>
      </c>
      <c r="Z55" s="46">
        <v>2.0249000000000001</v>
      </c>
    </row>
    <row r="56" spans="23:26" x14ac:dyDescent="0.2">
      <c r="W56" s="46">
        <v>1.1518999999999999</v>
      </c>
      <c r="X56" s="46">
        <v>1.0779000000000001</v>
      </c>
      <c r="Y56" s="46">
        <v>1.7827999999999999</v>
      </c>
      <c r="Z56" s="46">
        <v>1.9037999999999999</v>
      </c>
    </row>
    <row r="57" spans="23:26" x14ac:dyDescent="0.2">
      <c r="W57" s="46">
        <v>1.0778000000000001</v>
      </c>
      <c r="X57" s="46">
        <v>1.0038</v>
      </c>
      <c r="Y57" s="46">
        <v>1.6617</v>
      </c>
      <c r="Z57" s="46">
        <v>1.7827</v>
      </c>
    </row>
    <row r="58" spans="23:26" x14ac:dyDescent="0.2">
      <c r="W58" s="46">
        <v>1.0037</v>
      </c>
      <c r="X58" s="46">
        <v>0.92969999999999997</v>
      </c>
      <c r="Y58" s="46">
        <v>1.5406</v>
      </c>
      <c r="Z58" s="46">
        <v>1.6616</v>
      </c>
    </row>
    <row r="59" spans="23:26" x14ac:dyDescent="0.2">
      <c r="W59" s="46">
        <v>0.92959999999999998</v>
      </c>
      <c r="X59" s="46">
        <v>0.85560000000000003</v>
      </c>
      <c r="Y59" s="46">
        <v>1.4195</v>
      </c>
      <c r="Z59" s="46">
        <v>1.5405</v>
      </c>
    </row>
    <row r="60" spans="23:26" x14ac:dyDescent="0.2">
      <c r="W60" s="46">
        <v>0.85550000000000004</v>
      </c>
      <c r="X60" s="46">
        <v>0.78149999999999997</v>
      </c>
      <c r="Y60" s="46">
        <v>1.2984</v>
      </c>
      <c r="Z60" s="46">
        <v>1.4194</v>
      </c>
    </row>
    <row r="61" spans="23:26" x14ac:dyDescent="0.2">
      <c r="W61" s="46">
        <v>0.78139999999999998</v>
      </c>
      <c r="X61" s="46">
        <v>0.70740000000000003</v>
      </c>
      <c r="Y61" s="46">
        <v>1.1773</v>
      </c>
      <c r="Z61" s="46">
        <v>1.2983</v>
      </c>
    </row>
    <row r="62" spans="23:26" x14ac:dyDescent="0.2">
      <c r="W62" s="46">
        <v>0.70730000000000004</v>
      </c>
      <c r="X62" s="46">
        <v>0.68330000000000002</v>
      </c>
      <c r="Y62" s="46">
        <v>1.0562</v>
      </c>
      <c r="Z62" s="46">
        <v>1.1772</v>
      </c>
    </row>
    <row r="63" spans="23:26" x14ac:dyDescent="0.2">
      <c r="W63" s="46">
        <v>0.68320000000000003</v>
      </c>
      <c r="X63" s="46">
        <v>0.65920000000000001</v>
      </c>
      <c r="Y63" s="46">
        <v>0.93510000000000004</v>
      </c>
      <c r="Z63" s="46">
        <v>1.0561</v>
      </c>
    </row>
    <row r="64" spans="23:26" x14ac:dyDescent="0.2">
      <c r="W64" s="46">
        <v>0.65910000000000002</v>
      </c>
      <c r="X64" s="46">
        <v>0.65049999999999997</v>
      </c>
      <c r="Y64" s="46">
        <v>0.81399999999999995</v>
      </c>
      <c r="Z64" s="46">
        <v>0.93500000000000005</v>
      </c>
    </row>
    <row r="65" spans="23:29" ht="16" x14ac:dyDescent="0.2">
      <c r="W65" s="46">
        <v>0.65039999999999998</v>
      </c>
      <c r="X65" s="46" t="s">
        <v>779</v>
      </c>
      <c r="Y65" s="46">
        <v>0.69289999999999996</v>
      </c>
      <c r="Z65" s="46">
        <v>0.81389999999999996</v>
      </c>
    </row>
    <row r="66" spans="23:29" x14ac:dyDescent="0.2">
      <c r="Y66" s="46">
        <v>0.57179999999999997</v>
      </c>
      <c r="Z66" s="46">
        <v>0.69279999999999997</v>
      </c>
    </row>
    <row r="67" spans="23:29" x14ac:dyDescent="0.2">
      <c r="Y67" s="46">
        <v>0.45069999999999999</v>
      </c>
      <c r="Z67" s="46">
        <v>0.57169999999999999</v>
      </c>
    </row>
    <row r="68" spans="23:29" x14ac:dyDescent="0.2">
      <c r="Y68" s="46">
        <v>0.3296</v>
      </c>
      <c r="Z68" s="46">
        <v>0.4506</v>
      </c>
      <c r="AC68" s="46"/>
    </row>
    <row r="69" spans="23:29" ht="16" x14ac:dyDescent="0.2">
      <c r="Y69" s="46" t="s">
        <v>783</v>
      </c>
      <c r="Z69" s="46">
        <v>0.32950000000000002</v>
      </c>
    </row>
    <row r="127" spans="3:4" x14ac:dyDescent="0.2">
      <c r="C127" s="158">
        <v>13</v>
      </c>
      <c r="D127" s="152" cm="1">
        <f t="array" ref="D127">SUMPRODUCT((D6:L6+IF(D6:L6=13.1,0.2333,IF(D6:L6=13.2,0.4666,IF(D6:L6=13.3,0.6999,0)))),D3:L3)</f>
        <v>17.015999999999998</v>
      </c>
    </row>
    <row r="128" spans="3:4" x14ac:dyDescent="0.2">
      <c r="C128" s="56"/>
    </row>
    <row r="129" spans="3:4" x14ac:dyDescent="0.2">
      <c r="C129" s="158">
        <v>14</v>
      </c>
      <c r="D129" s="152" cm="1">
        <f t="array" ref="D129">SUMPRODUCT((D6:L6 + IF(D6:L6=13.1, 0.2333, IF(D6:L6=13.2, 0.4666, IF(D6:L6=13.3, 0.6999, IF(D6:L6=14.1, 0.2333, IF(D6:L6=14.2, 0.4666, IF(D6:L6=14.3, 0.6999, 0))))))), D3:L3)</f>
        <v>17.015999999999998</v>
      </c>
    </row>
    <row r="130" spans="3:4" x14ac:dyDescent="0.2">
      <c r="C130" s="56"/>
    </row>
    <row r="131" spans="3:4" x14ac:dyDescent="0.2">
      <c r="C131" s="158">
        <v>15</v>
      </c>
      <c r="D131" s="152" cm="1">
        <f t="array" ref="D131">SUMPRODUCT(D6:L6+IF(D6:L6=13.1,0.2333,IF(D6:L6=13.2,0.4666,IF(D6:L6=13.3,0.6999,IF(D6:L6=14.1,0.2333,IF(D6:L6=14.2,0.4666,IF(D6:L6=14.3,0.6999,IF(D6:L6=15.1,0.2333,IF(D6:L6=15.2,0.4666,IF(D6:L6=15.3,0.6999,0))))))))),D3:L3)</f>
        <v>17.067325999999998</v>
      </c>
    </row>
    <row r="132" spans="3:4" x14ac:dyDescent="0.2">
      <c r="C132" s="56"/>
    </row>
    <row r="133" spans="3:4" x14ac:dyDescent="0.2">
      <c r="C133" s="158">
        <v>16</v>
      </c>
      <c r="D133" s="152" cm="1">
        <f t="array" ref="D133">SUMPRODUCT(D6:L6 + IF(D6:L6=13.1, 0.2333, IF(D6:L6=13.2, 0.4666, IF(D6:L6=13.3, 0.6999, IF(D6:L6=14.1, 0.2333, IF(D6:L6=14.2, 0.4666, IF(D6:L6=14.3, 0.6999, IF(D6:L6=15.1, 0.2333, IF(D6:L6=15.2, 0.4666, IF(D6:L6=15.3, 0.6999, IF(D6:L6=16.1, 0.2333, IF(D6:L6=16.2, 0.4666, IF(D6:L6=16.3, 0.6999, 0)))))))))))), D3:L3)</f>
        <v>17.216638</v>
      </c>
    </row>
  </sheetData>
  <mergeCells count="23">
    <mergeCell ref="AD6:AE6"/>
    <mergeCell ref="AD5:AE5"/>
    <mergeCell ref="N5:O5"/>
    <mergeCell ref="R6:S6"/>
    <mergeCell ref="R5:S5"/>
    <mergeCell ref="T6:U6"/>
    <mergeCell ref="T5:U5"/>
    <mergeCell ref="P4:S4"/>
    <mergeCell ref="T4:W4"/>
    <mergeCell ref="V6:W6"/>
    <mergeCell ref="V5:W5"/>
    <mergeCell ref="AB4:AG4"/>
    <mergeCell ref="P6:Q6"/>
    <mergeCell ref="P5:Q5"/>
    <mergeCell ref="X6:Y6"/>
    <mergeCell ref="X5:Y5"/>
    <mergeCell ref="Z6:AA6"/>
    <mergeCell ref="Z5:AA5"/>
    <mergeCell ref="AF6:AG6"/>
    <mergeCell ref="AF5:AG5"/>
    <mergeCell ref="X4:AA4"/>
    <mergeCell ref="AB6:AC6"/>
    <mergeCell ref="AB5:A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58A2-8A3A-48CA-B1BB-9889C28CE1D1}">
  <sheetPr codeName="Sheet4"/>
  <dimension ref="C4:P57"/>
  <sheetViews>
    <sheetView topLeftCell="A22" workbookViewId="0">
      <selection activeCell="P54" sqref="P54"/>
    </sheetView>
  </sheetViews>
  <sheetFormatPr baseColWidth="10" defaultColWidth="8.83203125" defaultRowHeight="15" x14ac:dyDescent="0.2"/>
  <cols>
    <col min="3" max="3" width="10.6640625" bestFit="1" customWidth="1"/>
    <col min="16" max="16" width="12" bestFit="1" customWidth="1"/>
  </cols>
  <sheetData>
    <row r="4" spans="3:14" x14ac:dyDescent="0.2">
      <c r="C4" s="70" t="s">
        <v>761</v>
      </c>
    </row>
    <row r="5" spans="3:14" x14ac:dyDescent="0.2">
      <c r="C5" s="184" t="s">
        <v>775</v>
      </c>
      <c r="D5" s="184"/>
      <c r="E5" s="184"/>
      <c r="F5" s="184"/>
      <c r="G5" s="184"/>
      <c r="H5" s="184"/>
      <c r="I5" s="184"/>
      <c r="J5" s="184"/>
      <c r="K5" s="184"/>
      <c r="L5" s="184"/>
      <c r="M5" s="184"/>
      <c r="N5" s="184"/>
    </row>
    <row r="6" spans="3:14" x14ac:dyDescent="0.2">
      <c r="C6" s="184"/>
      <c r="D6" s="184"/>
      <c r="E6" s="184"/>
      <c r="F6" s="184"/>
      <c r="G6" s="184"/>
      <c r="H6" s="184"/>
      <c r="I6" s="184"/>
      <c r="J6" s="184"/>
      <c r="K6" s="184"/>
      <c r="L6" s="184"/>
      <c r="M6" s="184"/>
      <c r="N6" s="184"/>
    </row>
    <row r="7" spans="3:14" x14ac:dyDescent="0.2">
      <c r="C7" s="184"/>
      <c r="D7" s="184"/>
      <c r="E7" s="184"/>
      <c r="F7" s="184"/>
      <c r="G7" s="184"/>
      <c r="H7" s="184"/>
      <c r="I7" s="184"/>
      <c r="J7" s="184"/>
      <c r="K7" s="184"/>
      <c r="L7" s="184"/>
      <c r="M7" s="184"/>
      <c r="N7" s="184"/>
    </row>
    <row r="8" spans="3:14" x14ac:dyDescent="0.2">
      <c r="C8" s="184"/>
      <c r="D8" s="184"/>
      <c r="E8" s="184"/>
      <c r="F8" s="184"/>
      <c r="G8" s="184"/>
      <c r="H8" s="184"/>
      <c r="I8" s="184"/>
      <c r="J8" s="184"/>
      <c r="K8" s="184"/>
      <c r="L8" s="184"/>
      <c r="M8" s="184"/>
      <c r="N8" s="184"/>
    </row>
    <row r="10" spans="3:14" x14ac:dyDescent="0.2">
      <c r="C10" s="70" t="s">
        <v>290</v>
      </c>
    </row>
    <row r="11" spans="3:14" x14ac:dyDescent="0.2">
      <c r="C11" s="184" t="s">
        <v>774</v>
      </c>
      <c r="D11" s="184"/>
      <c r="E11" s="184"/>
      <c r="F11" s="184"/>
      <c r="G11" s="184"/>
      <c r="H11" s="184"/>
      <c r="I11" s="184"/>
      <c r="J11" s="184"/>
      <c r="K11" s="184"/>
      <c r="L11" s="184"/>
      <c r="M11" s="184"/>
      <c r="N11" s="184"/>
    </row>
    <row r="12" spans="3:14" x14ac:dyDescent="0.2">
      <c r="C12" s="184"/>
      <c r="D12" s="184"/>
      <c r="E12" s="184"/>
      <c r="F12" s="184"/>
      <c r="G12" s="184"/>
      <c r="H12" s="184"/>
      <c r="I12" s="184"/>
      <c r="J12" s="184"/>
      <c r="K12" s="184"/>
      <c r="L12" s="184"/>
      <c r="M12" s="184"/>
      <c r="N12" s="184"/>
    </row>
    <row r="13" spans="3:14" x14ac:dyDescent="0.2">
      <c r="C13" s="184"/>
      <c r="D13" s="184"/>
      <c r="E13" s="184"/>
      <c r="F13" s="184"/>
      <c r="G13" s="184"/>
      <c r="H13" s="184"/>
      <c r="I13" s="184"/>
      <c r="J13" s="184"/>
      <c r="K13" s="184"/>
      <c r="L13" s="184"/>
      <c r="M13" s="184"/>
      <c r="N13" s="184"/>
    </row>
    <row r="14" spans="3:14" x14ac:dyDescent="0.2">
      <c r="C14" s="184"/>
      <c r="D14" s="184"/>
      <c r="E14" s="184"/>
      <c r="F14" s="184"/>
      <c r="G14" s="184"/>
      <c r="H14" s="184"/>
      <c r="I14" s="184"/>
      <c r="J14" s="184"/>
      <c r="K14" s="184"/>
      <c r="L14" s="184"/>
      <c r="M14" s="184"/>
      <c r="N14" s="184"/>
    </row>
    <row r="16" spans="3:14" x14ac:dyDescent="0.2">
      <c r="C16" s="70" t="s">
        <v>764</v>
      </c>
    </row>
    <row r="17" spans="3:16" x14ac:dyDescent="0.2">
      <c r="C17" s="184" t="s">
        <v>777</v>
      </c>
      <c r="D17" s="184"/>
      <c r="E17" s="184"/>
      <c r="F17" s="184"/>
      <c r="G17" s="184"/>
      <c r="H17" s="184"/>
      <c r="I17" s="184"/>
      <c r="J17" s="184"/>
      <c r="K17" s="184"/>
      <c r="L17" s="184"/>
      <c r="M17" s="184"/>
      <c r="N17" s="184"/>
      <c r="P17">
        <f>(-35+141+55)/(144+55)</f>
        <v>0.80904522613065322</v>
      </c>
    </row>
    <row r="18" spans="3:16" x14ac:dyDescent="0.2">
      <c r="C18" s="184"/>
      <c r="D18" s="184"/>
      <c r="E18" s="184"/>
      <c r="F18" s="184"/>
      <c r="G18" s="184"/>
      <c r="H18" s="184"/>
      <c r="I18" s="184"/>
      <c r="J18" s="184"/>
      <c r="K18" s="184"/>
      <c r="L18" s="184"/>
      <c r="M18" s="184"/>
      <c r="N18" s="184"/>
    </row>
    <row r="19" spans="3:16" x14ac:dyDescent="0.2">
      <c r="C19" s="184"/>
      <c r="D19" s="184"/>
      <c r="E19" s="184"/>
      <c r="F19" s="184"/>
      <c r="G19" s="184"/>
      <c r="H19" s="184"/>
      <c r="I19" s="184"/>
      <c r="J19" s="184"/>
      <c r="K19" s="184"/>
      <c r="L19" s="184"/>
      <c r="M19" s="184"/>
      <c r="N19" s="184"/>
    </row>
    <row r="20" spans="3:16" x14ac:dyDescent="0.2">
      <c r="C20" s="184"/>
      <c r="D20" s="184"/>
      <c r="E20" s="184"/>
      <c r="F20" s="184"/>
      <c r="G20" s="184"/>
      <c r="H20" s="184"/>
      <c r="I20" s="184"/>
      <c r="J20" s="184"/>
      <c r="K20" s="184"/>
      <c r="L20" s="184"/>
      <c r="M20" s="184"/>
      <c r="N20" s="184"/>
    </row>
    <row r="21" spans="3:16" x14ac:dyDescent="0.2">
      <c r="C21" s="184"/>
      <c r="D21" s="184"/>
      <c r="E21" s="184"/>
      <c r="F21" s="184"/>
      <c r="G21" s="184"/>
      <c r="H21" s="184"/>
      <c r="I21" s="184"/>
      <c r="J21" s="184"/>
      <c r="K21" s="184"/>
      <c r="L21" s="184"/>
      <c r="M21" s="184"/>
      <c r="N21" s="184"/>
    </row>
    <row r="23" spans="3:16" x14ac:dyDescent="0.2">
      <c r="C23" s="70" t="s">
        <v>205</v>
      </c>
    </row>
    <row r="24" spans="3:16" x14ac:dyDescent="0.2">
      <c r="C24" s="184" t="s">
        <v>770</v>
      </c>
      <c r="D24" s="184"/>
      <c r="E24" s="184"/>
      <c r="F24" s="184"/>
      <c r="G24" s="184"/>
      <c r="H24" s="184"/>
      <c r="I24" s="184"/>
      <c r="J24" s="184"/>
      <c r="K24" s="184"/>
      <c r="L24" s="184"/>
      <c r="M24" s="184"/>
      <c r="N24" s="184"/>
    </row>
    <row r="25" spans="3:16" x14ac:dyDescent="0.2">
      <c r="C25" s="184"/>
      <c r="D25" s="184"/>
      <c r="E25" s="184"/>
      <c r="F25" s="184"/>
      <c r="G25" s="184"/>
      <c r="H25" s="184"/>
      <c r="I25" s="184"/>
      <c r="J25" s="184"/>
      <c r="K25" s="184"/>
      <c r="L25" s="184"/>
      <c r="M25" s="184"/>
      <c r="N25" s="184"/>
    </row>
    <row r="26" spans="3:16" x14ac:dyDescent="0.2">
      <c r="C26" s="184"/>
      <c r="D26" s="184"/>
      <c r="E26" s="184"/>
      <c r="F26" s="184"/>
      <c r="G26" s="184"/>
      <c r="H26" s="184"/>
      <c r="I26" s="184"/>
      <c r="J26" s="184"/>
      <c r="K26" s="184"/>
      <c r="L26" s="184"/>
      <c r="M26" s="184"/>
      <c r="N26" s="184"/>
    </row>
    <row r="27" spans="3:16" x14ac:dyDescent="0.2">
      <c r="C27" s="184"/>
      <c r="D27" s="184"/>
      <c r="E27" s="184"/>
      <c r="F27" s="184"/>
      <c r="G27" s="184"/>
      <c r="H27" s="184"/>
      <c r="I27" s="184"/>
      <c r="J27" s="184"/>
      <c r="K27" s="184"/>
      <c r="L27" s="184"/>
      <c r="M27" s="184"/>
      <c r="N27" s="184"/>
    </row>
    <row r="29" spans="3:16" x14ac:dyDescent="0.2">
      <c r="C29" s="70" t="s">
        <v>110</v>
      </c>
    </row>
    <row r="30" spans="3:16" x14ac:dyDescent="0.2">
      <c r="C30" s="184" t="s">
        <v>768</v>
      </c>
      <c r="D30" s="184"/>
      <c r="E30" s="184"/>
      <c r="F30" s="184"/>
      <c r="G30" s="184"/>
      <c r="H30" s="184"/>
      <c r="I30" s="184"/>
      <c r="J30" s="184"/>
      <c r="K30" s="184"/>
      <c r="L30" s="184"/>
      <c r="M30" s="184"/>
      <c r="N30" s="184"/>
    </row>
    <row r="31" spans="3:16" x14ac:dyDescent="0.2">
      <c r="C31" s="184"/>
      <c r="D31" s="184"/>
      <c r="E31" s="184"/>
      <c r="F31" s="184"/>
      <c r="G31" s="184"/>
      <c r="H31" s="184"/>
      <c r="I31" s="184"/>
      <c r="J31" s="184"/>
      <c r="K31" s="184"/>
      <c r="L31" s="184"/>
      <c r="M31" s="184"/>
      <c r="N31" s="184"/>
    </row>
    <row r="32" spans="3:16" x14ac:dyDescent="0.2">
      <c r="C32" s="184"/>
      <c r="D32" s="184"/>
      <c r="E32" s="184"/>
      <c r="F32" s="184"/>
      <c r="G32" s="184"/>
      <c r="H32" s="184"/>
      <c r="I32" s="184"/>
      <c r="J32" s="184"/>
      <c r="K32" s="184"/>
      <c r="L32" s="184"/>
      <c r="M32" s="184"/>
      <c r="N32" s="184"/>
    </row>
    <row r="33" spans="3:14" x14ac:dyDescent="0.2">
      <c r="C33" s="184"/>
      <c r="D33" s="184"/>
      <c r="E33" s="184"/>
      <c r="F33" s="184"/>
      <c r="G33" s="184"/>
      <c r="H33" s="184"/>
      <c r="I33" s="184"/>
      <c r="J33" s="184"/>
      <c r="K33" s="184"/>
      <c r="L33" s="184"/>
      <c r="M33" s="184"/>
      <c r="N33" s="184"/>
    </row>
    <row r="35" spans="3:14" x14ac:dyDescent="0.2">
      <c r="C35" s="70" t="s">
        <v>111</v>
      </c>
    </row>
    <row r="36" spans="3:14" x14ac:dyDescent="0.2">
      <c r="C36" s="184" t="s">
        <v>773</v>
      </c>
      <c r="D36" s="184"/>
      <c r="E36" s="184"/>
      <c r="F36" s="184"/>
      <c r="G36" s="184"/>
      <c r="H36" s="184"/>
      <c r="I36" s="184"/>
      <c r="J36" s="184"/>
      <c r="K36" s="184"/>
      <c r="L36" s="184"/>
      <c r="M36" s="184"/>
      <c r="N36" s="184"/>
    </row>
    <row r="37" spans="3:14" x14ac:dyDescent="0.2">
      <c r="C37" s="184"/>
      <c r="D37" s="184"/>
      <c r="E37" s="184"/>
      <c r="F37" s="184"/>
      <c r="G37" s="184"/>
      <c r="H37" s="184"/>
      <c r="I37" s="184"/>
      <c r="J37" s="184"/>
      <c r="K37" s="184"/>
      <c r="L37" s="184"/>
      <c r="M37" s="184"/>
      <c r="N37" s="184"/>
    </row>
    <row r="38" spans="3:14" x14ac:dyDescent="0.2">
      <c r="C38" s="184"/>
      <c r="D38" s="184"/>
      <c r="E38" s="184"/>
      <c r="F38" s="184"/>
      <c r="G38" s="184"/>
      <c r="H38" s="184"/>
      <c r="I38" s="184"/>
      <c r="J38" s="184"/>
      <c r="K38" s="184"/>
      <c r="L38" s="184"/>
      <c r="M38" s="184"/>
      <c r="N38" s="184"/>
    </row>
    <row r="39" spans="3:14" x14ac:dyDescent="0.2">
      <c r="C39" s="184"/>
      <c r="D39" s="184"/>
      <c r="E39" s="184"/>
      <c r="F39" s="184"/>
      <c r="G39" s="184"/>
      <c r="H39" s="184"/>
      <c r="I39" s="184"/>
      <c r="J39" s="184"/>
      <c r="K39" s="184"/>
      <c r="L39" s="184"/>
      <c r="M39" s="184"/>
      <c r="N39" s="184"/>
    </row>
    <row r="41" spans="3:14" x14ac:dyDescent="0.2">
      <c r="C41" s="70" t="s">
        <v>769</v>
      </c>
    </row>
    <row r="42" spans="3:14" x14ac:dyDescent="0.2">
      <c r="C42" s="184" t="s">
        <v>772</v>
      </c>
      <c r="D42" s="184"/>
      <c r="E42" s="184"/>
      <c r="F42" s="184"/>
      <c r="G42" s="184"/>
      <c r="H42" s="184"/>
      <c r="I42" s="184"/>
      <c r="J42" s="184"/>
      <c r="K42" s="184"/>
      <c r="L42" s="184"/>
      <c r="M42" s="184"/>
      <c r="N42" s="184"/>
    </row>
    <row r="43" spans="3:14" x14ac:dyDescent="0.2">
      <c r="C43" s="184"/>
      <c r="D43" s="184"/>
      <c r="E43" s="184"/>
      <c r="F43" s="184"/>
      <c r="G43" s="184"/>
      <c r="H43" s="184"/>
      <c r="I43" s="184"/>
      <c r="J43" s="184"/>
      <c r="K43" s="184"/>
      <c r="L43" s="184"/>
      <c r="M43" s="184"/>
      <c r="N43" s="184"/>
    </row>
    <row r="44" spans="3:14" x14ac:dyDescent="0.2">
      <c r="C44" s="184"/>
      <c r="D44" s="184"/>
      <c r="E44" s="184"/>
      <c r="F44" s="184"/>
      <c r="G44" s="184"/>
      <c r="H44" s="184"/>
      <c r="I44" s="184"/>
      <c r="J44" s="184"/>
      <c r="K44" s="184"/>
      <c r="L44" s="184"/>
      <c r="M44" s="184"/>
      <c r="N44" s="184"/>
    </row>
    <row r="45" spans="3:14" x14ac:dyDescent="0.2">
      <c r="C45" s="184"/>
      <c r="D45" s="184"/>
      <c r="E45" s="184"/>
      <c r="F45" s="184"/>
      <c r="G45" s="184"/>
      <c r="H45" s="184"/>
      <c r="I45" s="184"/>
      <c r="J45" s="184"/>
      <c r="K45" s="184"/>
      <c r="L45" s="184"/>
      <c r="M45" s="184"/>
      <c r="N45" s="184"/>
    </row>
    <row r="47" spans="3:14" x14ac:dyDescent="0.2">
      <c r="C47" s="70" t="s">
        <v>131</v>
      </c>
    </row>
    <row r="48" spans="3:14" x14ac:dyDescent="0.2">
      <c r="C48" s="184" t="s">
        <v>771</v>
      </c>
      <c r="D48" s="184"/>
      <c r="E48" s="184"/>
      <c r="F48" s="184"/>
      <c r="G48" s="184"/>
      <c r="H48" s="184"/>
      <c r="I48" s="184"/>
      <c r="J48" s="184"/>
      <c r="K48" s="184"/>
      <c r="L48" s="184"/>
      <c r="M48" s="184"/>
      <c r="N48" s="184"/>
    </row>
    <row r="49" spans="3:16" x14ac:dyDescent="0.2">
      <c r="C49" s="184"/>
      <c r="D49" s="184"/>
      <c r="E49" s="184"/>
      <c r="F49" s="184"/>
      <c r="G49" s="184"/>
      <c r="H49" s="184"/>
      <c r="I49" s="184"/>
      <c r="J49" s="184"/>
      <c r="K49" s="184"/>
      <c r="L49" s="184"/>
      <c r="M49" s="184"/>
      <c r="N49" s="184"/>
    </row>
    <row r="50" spans="3:16" x14ac:dyDescent="0.2">
      <c r="C50" s="184"/>
      <c r="D50" s="184"/>
      <c r="E50" s="184"/>
      <c r="F50" s="184"/>
      <c r="G50" s="184"/>
      <c r="H50" s="184"/>
      <c r="I50" s="184"/>
      <c r="J50" s="184"/>
      <c r="K50" s="184"/>
      <c r="L50" s="184"/>
      <c r="M50" s="184"/>
      <c r="N50" s="184"/>
    </row>
    <row r="51" spans="3:16" x14ac:dyDescent="0.2">
      <c r="C51" s="184"/>
      <c r="D51" s="184"/>
      <c r="E51" s="184"/>
      <c r="F51" s="184"/>
      <c r="G51" s="184"/>
      <c r="H51" s="184"/>
      <c r="I51" s="184"/>
      <c r="J51" s="184"/>
      <c r="K51" s="184"/>
      <c r="L51" s="184"/>
      <c r="M51" s="184"/>
      <c r="N51" s="184"/>
    </row>
    <row r="53" spans="3:16" x14ac:dyDescent="0.2">
      <c r="C53" s="70" t="s">
        <v>116</v>
      </c>
    </row>
    <row r="54" spans="3:16" x14ac:dyDescent="0.2">
      <c r="C54" s="184" t="s">
        <v>776</v>
      </c>
      <c r="D54" s="184"/>
      <c r="E54" s="184"/>
      <c r="F54" s="184"/>
      <c r="G54" s="184"/>
      <c r="H54" s="184"/>
      <c r="I54" s="184"/>
      <c r="J54" s="184"/>
      <c r="K54" s="184"/>
      <c r="L54" s="184"/>
      <c r="M54" s="184"/>
      <c r="N54" s="184"/>
      <c r="P54">
        <f>(-35+141-34)/2454</f>
        <v>2.9339853300733496E-2</v>
      </c>
    </row>
    <row r="55" spans="3:16" x14ac:dyDescent="0.2">
      <c r="C55" s="184"/>
      <c r="D55" s="184"/>
      <c r="E55" s="184"/>
      <c r="F55" s="184"/>
      <c r="G55" s="184"/>
      <c r="H55" s="184"/>
      <c r="I55" s="184"/>
      <c r="J55" s="184"/>
      <c r="K55" s="184"/>
      <c r="L55" s="184"/>
      <c r="M55" s="184"/>
      <c r="N55" s="184"/>
    </row>
    <row r="56" spans="3:16" x14ac:dyDescent="0.2">
      <c r="C56" s="184"/>
      <c r="D56" s="184"/>
      <c r="E56" s="184"/>
      <c r="F56" s="184"/>
      <c r="G56" s="184"/>
      <c r="H56" s="184"/>
      <c r="I56" s="184"/>
      <c r="J56" s="184"/>
      <c r="K56" s="184"/>
      <c r="L56" s="184"/>
      <c r="M56" s="184"/>
      <c r="N56" s="184"/>
    </row>
    <row r="57" spans="3:16" x14ac:dyDescent="0.2">
      <c r="C57" s="184"/>
      <c r="D57" s="184"/>
      <c r="E57" s="184"/>
      <c r="F57" s="184"/>
      <c r="G57" s="184"/>
      <c r="H57" s="184"/>
      <c r="I57" s="184"/>
      <c r="J57" s="184"/>
      <c r="K57" s="184"/>
      <c r="L57" s="184"/>
      <c r="M57" s="184"/>
      <c r="N57" s="184"/>
    </row>
  </sheetData>
  <mergeCells count="9">
    <mergeCell ref="C42:N45"/>
    <mergeCell ref="C48:N51"/>
    <mergeCell ref="C54:N57"/>
    <mergeCell ref="C5:N8"/>
    <mergeCell ref="C11:N14"/>
    <mergeCell ref="C17:N21"/>
    <mergeCell ref="C24:N27"/>
    <mergeCell ref="C30:N33"/>
    <mergeCell ref="C36:N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0415D-06C1-485D-82F5-626C5F4754AE}">
  <sheetPr codeName="Sheet5"/>
  <dimension ref="A1:Q45"/>
  <sheetViews>
    <sheetView workbookViewId="0">
      <selection sqref="A1:M33"/>
    </sheetView>
  </sheetViews>
  <sheetFormatPr baseColWidth="10" defaultColWidth="8.83203125" defaultRowHeight="15" x14ac:dyDescent="0.2"/>
  <cols>
    <col min="2" max="2" width="9.1640625" style="1"/>
    <col min="3" max="3" width="10.5" customWidth="1"/>
    <col min="4" max="4" width="10.83203125" customWidth="1"/>
    <col min="5" max="5" width="12.1640625" bestFit="1" customWidth="1"/>
  </cols>
  <sheetData>
    <row r="1" spans="1:17" x14ac:dyDescent="0.2">
      <c r="A1" s="7" t="s">
        <v>29</v>
      </c>
    </row>
    <row r="3" spans="1:17" x14ac:dyDescent="0.2">
      <c r="B3"/>
      <c r="F3" s="178" t="s">
        <v>26</v>
      </c>
      <c r="G3" s="178"/>
      <c r="H3" s="178"/>
      <c r="I3" s="178"/>
      <c r="J3" s="178"/>
      <c r="K3" s="178"/>
      <c r="L3" s="178"/>
      <c r="M3" s="178"/>
    </row>
    <row r="4" spans="1:17" s="1" customFormat="1" x14ac:dyDescent="0.2">
      <c r="A4" s="178" t="s">
        <v>24</v>
      </c>
      <c r="B4" s="178"/>
      <c r="C4" s="178" t="s">
        <v>25</v>
      </c>
      <c r="D4" s="178"/>
      <c r="E4" s="178"/>
      <c r="F4" s="169" t="s">
        <v>30</v>
      </c>
      <c r="G4" s="169"/>
      <c r="H4" s="169" t="s">
        <v>31</v>
      </c>
      <c r="I4" s="169"/>
      <c r="J4" s="169" t="s">
        <v>32</v>
      </c>
      <c r="K4" s="169"/>
      <c r="L4" s="183" t="s">
        <v>106</v>
      </c>
      <c r="M4" s="183"/>
    </row>
    <row r="5" spans="1:17" ht="19" x14ac:dyDescent="0.2">
      <c r="A5" s="4" t="s">
        <v>20</v>
      </c>
      <c r="B5" s="4" t="s">
        <v>21</v>
      </c>
      <c r="C5" s="4" t="s">
        <v>22</v>
      </c>
      <c r="D5" s="4" t="s">
        <v>40</v>
      </c>
      <c r="E5" s="4" t="s">
        <v>23</v>
      </c>
      <c r="F5" s="1" t="s">
        <v>34</v>
      </c>
      <c r="G5" s="1" t="s">
        <v>33</v>
      </c>
      <c r="H5" s="1" t="s">
        <v>34</v>
      </c>
      <c r="I5" s="1" t="s">
        <v>33</v>
      </c>
      <c r="J5" s="1" t="s">
        <v>34</v>
      </c>
      <c r="K5" s="1" t="s">
        <v>33</v>
      </c>
      <c r="L5" s="2" t="s">
        <v>34</v>
      </c>
      <c r="M5" s="2" t="s">
        <v>33</v>
      </c>
      <c r="O5" s="36" t="s">
        <v>102</v>
      </c>
      <c r="P5" s="37"/>
      <c r="Q5" s="37"/>
    </row>
    <row r="6" spans="1:17" x14ac:dyDescent="0.2">
      <c r="A6" s="2" t="s">
        <v>0</v>
      </c>
      <c r="B6" s="2">
        <v>1</v>
      </c>
      <c r="C6" s="42">
        <v>0</v>
      </c>
      <c r="D6" s="41">
        <f t="shared" ref="D6:D17" si="0">(C6+E6)/2</f>
        <v>9.2499999999999999E-5</v>
      </c>
      <c r="E6" s="42">
        <v>1.85E-4</v>
      </c>
      <c r="F6" s="3"/>
      <c r="G6" s="3"/>
      <c r="H6" s="3"/>
      <c r="I6" s="3"/>
      <c r="J6" s="3"/>
      <c r="K6" s="43"/>
      <c r="L6" s="3"/>
      <c r="M6" s="3"/>
      <c r="O6" s="37" t="s">
        <v>103</v>
      </c>
      <c r="P6" s="37"/>
      <c r="Q6" s="37"/>
    </row>
    <row r="7" spans="1:17" x14ac:dyDescent="0.2">
      <c r="A7" s="2" t="s">
        <v>1</v>
      </c>
      <c r="B7" s="2">
        <v>2</v>
      </c>
      <c r="C7" s="42">
        <v>1.851E-4</v>
      </c>
      <c r="D7" s="41">
        <f t="shared" si="0"/>
        <v>2.4655E-4</v>
      </c>
      <c r="E7" s="42">
        <v>3.0800000000000001E-4</v>
      </c>
      <c r="F7" s="3"/>
      <c r="G7" s="3"/>
      <c r="H7" s="3"/>
      <c r="I7" s="3"/>
      <c r="J7" s="3"/>
      <c r="K7" s="43"/>
      <c r="L7" s="3"/>
      <c r="M7" s="3"/>
      <c r="O7" s="37"/>
      <c r="P7" s="37"/>
      <c r="Q7" s="37"/>
    </row>
    <row r="8" spans="1:17" x14ac:dyDescent="0.2">
      <c r="A8" s="2" t="s">
        <v>2</v>
      </c>
      <c r="B8" s="2">
        <v>3</v>
      </c>
      <c r="C8" s="42">
        <v>3.0810000000000001E-4</v>
      </c>
      <c r="D8" s="41">
        <f t="shared" si="0"/>
        <v>4.1105000000000004E-4</v>
      </c>
      <c r="E8" s="41">
        <v>5.1400000000000003E-4</v>
      </c>
      <c r="F8" s="3"/>
      <c r="G8" s="3"/>
      <c r="H8" s="3"/>
      <c r="I8" s="3"/>
      <c r="J8" s="3"/>
      <c r="K8" s="43"/>
      <c r="L8" s="3"/>
      <c r="M8" s="3"/>
      <c r="O8" s="38">
        <v>300</v>
      </c>
      <c r="P8" s="39">
        <v>0.19800000000000001</v>
      </c>
      <c r="Q8" s="37"/>
    </row>
    <row r="9" spans="1:17" x14ac:dyDescent="0.2">
      <c r="A9" s="2" t="s">
        <v>3</v>
      </c>
      <c r="B9" s="2">
        <v>4</v>
      </c>
      <c r="C9" s="42">
        <v>5.1141000000000001E-4</v>
      </c>
      <c r="D9" s="41">
        <f t="shared" si="0"/>
        <v>6.8420500000000001E-4</v>
      </c>
      <c r="E9" s="41">
        <v>8.5700000000000001E-4</v>
      </c>
      <c r="F9" s="3"/>
      <c r="G9" s="3"/>
      <c r="H9" s="3"/>
      <c r="I9" s="3"/>
      <c r="J9" s="3"/>
      <c r="K9" s="43"/>
      <c r="L9" s="3"/>
      <c r="M9" s="3"/>
      <c r="O9" s="38">
        <v>500</v>
      </c>
      <c r="P9" s="39">
        <v>0.14000000000000001</v>
      </c>
      <c r="Q9" s="37"/>
    </row>
    <row r="10" spans="1:17" x14ac:dyDescent="0.2">
      <c r="A10" s="2" t="s">
        <v>4</v>
      </c>
      <c r="B10" s="2">
        <v>5</v>
      </c>
      <c r="C10" s="42">
        <v>8.5709999999999996E-4</v>
      </c>
      <c r="D10" s="41">
        <f t="shared" si="0"/>
        <v>1.14255E-3</v>
      </c>
      <c r="E10" s="41">
        <v>1.428E-3</v>
      </c>
      <c r="F10" s="3"/>
      <c r="G10" s="3"/>
      <c r="H10" s="3"/>
      <c r="I10" s="3"/>
      <c r="J10" s="3"/>
      <c r="K10" s="43"/>
      <c r="L10" s="3"/>
      <c r="M10" s="3"/>
      <c r="O10" s="38">
        <v>520</v>
      </c>
      <c r="P10" s="39">
        <v>0.1</v>
      </c>
      <c r="Q10" s="37"/>
    </row>
    <row r="11" spans="1:17" x14ac:dyDescent="0.2">
      <c r="A11" s="2" t="s">
        <v>5</v>
      </c>
      <c r="B11" s="2">
        <v>6</v>
      </c>
      <c r="C11" s="42">
        <v>1.4281000000000001E-3</v>
      </c>
      <c r="D11" s="41">
        <f t="shared" si="0"/>
        <v>1.60655E-3</v>
      </c>
      <c r="E11" s="41">
        <v>1.7849999999999999E-3</v>
      </c>
      <c r="F11" s="3"/>
      <c r="G11" s="3"/>
      <c r="H11" s="3"/>
      <c r="I11" s="3"/>
      <c r="J11" s="3"/>
      <c r="K11" s="43"/>
      <c r="L11" s="3"/>
      <c r="M11" s="3"/>
      <c r="O11" s="38">
        <v>540</v>
      </c>
      <c r="P11" s="39">
        <v>9.6999999999999989E-2</v>
      </c>
      <c r="Q11" s="37"/>
    </row>
    <row r="12" spans="1:17" x14ac:dyDescent="0.2">
      <c r="A12" s="2" t="s">
        <v>6</v>
      </c>
      <c r="B12" s="2">
        <v>7</v>
      </c>
      <c r="C12" s="42">
        <v>1.7851E-3</v>
      </c>
      <c r="D12" s="41">
        <f t="shared" si="0"/>
        <v>2.0080499999999999E-3</v>
      </c>
      <c r="E12" s="41">
        <v>2.2309999999999999E-3</v>
      </c>
      <c r="F12" s="3"/>
      <c r="G12" s="3"/>
      <c r="H12" s="3"/>
      <c r="I12" s="3"/>
      <c r="J12" s="3"/>
      <c r="K12" s="43"/>
      <c r="L12" s="3"/>
      <c r="M12" s="3"/>
      <c r="O12" s="38">
        <v>560</v>
      </c>
      <c r="P12" s="39">
        <v>6.8000000000000005E-2</v>
      </c>
      <c r="Q12" s="37"/>
    </row>
    <row r="13" spans="1:17" x14ac:dyDescent="0.2">
      <c r="A13" s="2" t="s">
        <v>7</v>
      </c>
      <c r="B13" s="2">
        <v>8</v>
      </c>
      <c r="C13" s="42">
        <v>2.2311000000000002E-3</v>
      </c>
      <c r="D13" s="41">
        <f t="shared" si="0"/>
        <v>2.5100499999999998E-3</v>
      </c>
      <c r="E13" s="41">
        <v>2.7889999999999998E-3</v>
      </c>
      <c r="F13" s="3">
        <v>790</v>
      </c>
      <c r="G13" s="3">
        <v>766</v>
      </c>
      <c r="H13" s="3"/>
      <c r="I13" s="3"/>
      <c r="J13" s="3"/>
      <c r="K13" s="43"/>
      <c r="L13" s="3"/>
      <c r="M13" s="3"/>
      <c r="O13" s="38">
        <v>580</v>
      </c>
      <c r="P13" s="39">
        <v>5.4000000000000006E-2</v>
      </c>
      <c r="Q13" s="37"/>
    </row>
    <row r="14" spans="1:17" x14ac:dyDescent="0.2">
      <c r="A14" s="2" t="s">
        <v>8</v>
      </c>
      <c r="B14" s="2">
        <v>9</v>
      </c>
      <c r="C14" s="42">
        <v>2.7891000000000001E-3</v>
      </c>
      <c r="D14" s="41">
        <f t="shared" si="0"/>
        <v>3.5395499999999998E-3</v>
      </c>
      <c r="E14" s="41">
        <v>4.2899999999999995E-3</v>
      </c>
      <c r="F14" s="3">
        <v>765</v>
      </c>
      <c r="G14" s="3">
        <v>750</v>
      </c>
      <c r="H14" s="3"/>
      <c r="I14" s="3"/>
      <c r="J14" s="3"/>
      <c r="K14" s="43"/>
      <c r="L14" s="3"/>
      <c r="M14" s="3"/>
      <c r="O14" s="38">
        <v>600</v>
      </c>
      <c r="P14" s="39">
        <v>4.8000000000000001E-2</v>
      </c>
      <c r="Q14" s="37"/>
    </row>
    <row r="15" spans="1:17" x14ac:dyDescent="0.2">
      <c r="A15" s="2" t="s">
        <v>9</v>
      </c>
      <c r="B15" s="2">
        <v>10</v>
      </c>
      <c r="C15" s="42">
        <v>4.2900999999999998E-3</v>
      </c>
      <c r="D15" s="41">
        <f t="shared" si="0"/>
        <v>5.3450500000000005E-3</v>
      </c>
      <c r="E15" s="41">
        <v>6.4000000000000003E-3</v>
      </c>
      <c r="F15" s="3">
        <v>749</v>
      </c>
      <c r="G15" s="3">
        <v>730</v>
      </c>
      <c r="H15" s="3"/>
      <c r="I15" s="3"/>
      <c r="J15" s="3"/>
      <c r="K15" s="43"/>
      <c r="L15" s="3"/>
      <c r="M15" s="3"/>
      <c r="O15" s="38">
        <v>620</v>
      </c>
      <c r="P15" s="39">
        <v>4.2999999999999997E-2</v>
      </c>
      <c r="Q15" s="37"/>
    </row>
    <row r="16" spans="1:17" x14ac:dyDescent="0.2">
      <c r="A16" s="2" t="s">
        <v>10</v>
      </c>
      <c r="B16" s="2">
        <v>11</v>
      </c>
      <c r="C16" s="42">
        <v>6.6001000000000002E-3</v>
      </c>
      <c r="D16" s="41">
        <f t="shared" si="0"/>
        <v>8.8000500000000002E-3</v>
      </c>
      <c r="E16" s="41">
        <v>1.1000000000000001E-2</v>
      </c>
      <c r="F16" s="3">
        <v>729</v>
      </c>
      <c r="G16" s="3">
        <v>700</v>
      </c>
      <c r="H16" s="3"/>
      <c r="I16" s="3"/>
      <c r="J16" s="3">
        <v>950</v>
      </c>
      <c r="K16" s="43"/>
      <c r="L16" s="3"/>
      <c r="M16" s="3"/>
      <c r="O16" s="38">
        <v>640</v>
      </c>
      <c r="P16" s="39">
        <v>4.2000000000000003E-2</v>
      </c>
      <c r="Q16" s="37"/>
    </row>
    <row r="17" spans="1:17" x14ac:dyDescent="0.2">
      <c r="A17" s="2" t="s">
        <v>11</v>
      </c>
      <c r="B17" s="2">
        <v>12</v>
      </c>
      <c r="C17" s="42">
        <v>1.1000100000000001E-2</v>
      </c>
      <c r="D17" s="41">
        <f t="shared" si="0"/>
        <v>1.375005E-2</v>
      </c>
      <c r="E17" s="41">
        <v>1.6500000000000001E-2</v>
      </c>
      <c r="F17" s="3">
        <v>695</v>
      </c>
      <c r="G17" s="3"/>
      <c r="H17" s="3"/>
      <c r="I17" s="3"/>
      <c r="J17" s="3"/>
      <c r="K17" s="43"/>
      <c r="L17" s="3"/>
      <c r="M17" s="3"/>
      <c r="O17" s="38">
        <v>660</v>
      </c>
      <c r="P17" s="39">
        <v>3.7000000000000005E-2</v>
      </c>
      <c r="Q17" s="37"/>
    </row>
    <row r="18" spans="1:17" x14ac:dyDescent="0.2">
      <c r="A18" s="2" t="s">
        <v>12</v>
      </c>
      <c r="B18" s="2">
        <v>13.1</v>
      </c>
      <c r="C18" s="10">
        <v>1.65001E-2</v>
      </c>
      <c r="D18" s="41">
        <f>(C18+E18)/2</f>
        <v>1.7481337499999999E-2</v>
      </c>
      <c r="E18" s="42">
        <f>C19-0.0001</f>
        <v>1.8462574999999998E-2</v>
      </c>
      <c r="F18" s="3"/>
      <c r="G18" s="3">
        <v>680</v>
      </c>
      <c r="H18" s="3">
        <v>300</v>
      </c>
      <c r="I18" s="3"/>
      <c r="J18" s="3"/>
      <c r="K18" s="43"/>
      <c r="L18" s="3"/>
      <c r="M18" s="3"/>
      <c r="O18" s="38">
        <v>680</v>
      </c>
      <c r="P18" s="39">
        <v>2.7000000000000003E-2</v>
      </c>
      <c r="Q18" s="37"/>
    </row>
    <row r="19" spans="1:17" x14ac:dyDescent="0.2">
      <c r="A19" s="2" t="s">
        <v>12</v>
      </c>
      <c r="B19" s="2">
        <v>13.2</v>
      </c>
      <c r="C19" s="41">
        <f>(D19+C18)/2</f>
        <v>1.8562574999999998E-2</v>
      </c>
      <c r="D19" s="41">
        <f>(C18+E20)/2</f>
        <v>2.0625049999999999E-2</v>
      </c>
      <c r="E19" s="41">
        <f>+(D19+E20)/2</f>
        <v>2.2687525E-2</v>
      </c>
      <c r="F19" s="3">
        <v>679</v>
      </c>
      <c r="G19" s="3"/>
      <c r="H19" s="3"/>
      <c r="I19" s="3">
        <v>260</v>
      </c>
      <c r="J19" s="3"/>
      <c r="K19" s="43"/>
      <c r="L19" s="3"/>
      <c r="M19" s="3"/>
      <c r="O19" s="38">
        <v>700</v>
      </c>
      <c r="P19" s="39">
        <v>2.2000000000000002E-2</v>
      </c>
      <c r="Q19" s="37"/>
    </row>
    <row r="20" spans="1:17" x14ac:dyDescent="0.2">
      <c r="A20" s="2" t="s">
        <v>12</v>
      </c>
      <c r="B20" s="2">
        <v>13.3</v>
      </c>
      <c r="C20" s="42">
        <f>E19+0.00001</f>
        <v>2.2697525E-2</v>
      </c>
      <c r="D20" s="41">
        <f t="shared" ref="D20:D29" si="1">(C19+E21)/2</f>
        <v>2.3198166249999999E-2</v>
      </c>
      <c r="E20" s="41">
        <v>2.4750000000000001E-2</v>
      </c>
      <c r="F20" s="3"/>
      <c r="G20" s="3"/>
      <c r="H20" s="3"/>
      <c r="I20" s="3"/>
      <c r="J20" s="3"/>
      <c r="K20" s="43"/>
      <c r="L20" s="3"/>
      <c r="M20" s="3"/>
      <c r="O20" s="38">
        <v>720</v>
      </c>
      <c r="P20" s="39">
        <v>1.4999999999999999E-2</v>
      </c>
      <c r="Q20" s="37"/>
    </row>
    <row r="21" spans="1:17" x14ac:dyDescent="0.2">
      <c r="A21" s="2" t="s">
        <v>13</v>
      </c>
      <c r="B21" s="2">
        <v>14.1</v>
      </c>
      <c r="C21" s="15">
        <v>2.4750009999999999E-2</v>
      </c>
      <c r="D21" s="41">
        <f t="shared" si="1"/>
        <v>2.8364388749999997E-2</v>
      </c>
      <c r="E21" s="42">
        <f>C22-0.00001</f>
        <v>2.7833757499999997E-2</v>
      </c>
      <c r="F21" s="3"/>
      <c r="G21" s="3">
        <v>670</v>
      </c>
      <c r="H21" s="3">
        <v>259</v>
      </c>
      <c r="I21" s="3"/>
      <c r="J21" s="3"/>
      <c r="K21" s="43">
        <v>900</v>
      </c>
      <c r="L21" s="3"/>
      <c r="M21" s="3"/>
      <c r="O21" s="38">
        <v>740</v>
      </c>
      <c r="P21" s="39">
        <v>0.01</v>
      </c>
      <c r="Q21" s="37"/>
    </row>
    <row r="22" spans="1:17" x14ac:dyDescent="0.2">
      <c r="A22" s="2" t="s">
        <v>13</v>
      </c>
      <c r="B22" s="2">
        <v>14.2</v>
      </c>
      <c r="C22" s="41">
        <f>(D22+C21)/2</f>
        <v>2.7843757499999996E-2</v>
      </c>
      <c r="D22" s="41">
        <f t="shared" si="1"/>
        <v>3.0937504999999997E-2</v>
      </c>
      <c r="E22" s="41">
        <f>+(D22+E23)/2</f>
        <v>3.4031252499999998E-2</v>
      </c>
      <c r="F22" s="3">
        <v>669</v>
      </c>
      <c r="G22" s="3"/>
      <c r="H22" s="3"/>
      <c r="I22" s="3"/>
      <c r="J22" s="3">
        <v>899</v>
      </c>
      <c r="K22" s="43"/>
      <c r="L22" s="3"/>
      <c r="M22" s="3"/>
      <c r="O22" s="38">
        <v>760</v>
      </c>
      <c r="P22" s="39">
        <v>5.0000000000000001E-3</v>
      </c>
      <c r="Q22" s="37"/>
    </row>
    <row r="23" spans="1:17" x14ac:dyDescent="0.2">
      <c r="A23" s="2" t="s">
        <v>13</v>
      </c>
      <c r="B23" s="2">
        <v>14.3</v>
      </c>
      <c r="C23" s="42">
        <f>E22+0.00001</f>
        <v>3.4041252500000001E-2</v>
      </c>
      <c r="D23" s="41">
        <f>(C23+E23)/2</f>
        <v>3.558312625E-2</v>
      </c>
      <c r="E23" s="41">
        <v>3.7124999999999998E-2</v>
      </c>
      <c r="F23" s="3"/>
      <c r="G23" s="3"/>
      <c r="H23" s="3"/>
      <c r="I23" s="3"/>
      <c r="J23" s="3"/>
      <c r="K23" s="43"/>
      <c r="L23" s="3"/>
      <c r="M23" s="3"/>
      <c r="O23" s="38">
        <v>780</v>
      </c>
      <c r="P23" s="39">
        <v>4.0000000000000001E-3</v>
      </c>
      <c r="Q23" s="37"/>
    </row>
    <row r="24" spans="1:17" x14ac:dyDescent="0.2">
      <c r="A24" s="2" t="s">
        <v>14</v>
      </c>
      <c r="B24" s="2">
        <v>15.1</v>
      </c>
      <c r="C24" s="41">
        <v>3.712501E-2</v>
      </c>
      <c r="D24" s="41">
        <f t="shared" si="1"/>
        <v>4.2544252500000004E-2</v>
      </c>
      <c r="E24" s="42">
        <f>C25-0.00001</f>
        <v>4.1755757499999997E-2</v>
      </c>
      <c r="F24" s="3"/>
      <c r="G24" s="3"/>
      <c r="H24" s="3"/>
      <c r="I24" s="3"/>
      <c r="J24" s="3"/>
      <c r="K24" s="43"/>
      <c r="L24" s="3"/>
      <c r="M24" s="3"/>
      <c r="O24" s="38">
        <v>800</v>
      </c>
      <c r="P24" s="39">
        <v>2E-3</v>
      </c>
      <c r="Q24" s="37"/>
    </row>
    <row r="25" spans="1:17" x14ac:dyDescent="0.2">
      <c r="A25" s="2" t="s">
        <v>14</v>
      </c>
      <c r="B25" s="2">
        <v>15.2</v>
      </c>
      <c r="C25" s="41">
        <f>(C24+D25)/2</f>
        <v>4.17657575E-2</v>
      </c>
      <c r="D25" s="41">
        <f t="shared" si="1"/>
        <v>4.6406505000000001E-2</v>
      </c>
      <c r="E25" s="41">
        <f>+(D25+E26)/2</f>
        <v>5.1047252500000001E-2</v>
      </c>
      <c r="F25" s="3"/>
      <c r="G25" s="3"/>
      <c r="H25" s="3">
        <v>661</v>
      </c>
      <c r="I25" s="3"/>
      <c r="J25" s="3"/>
      <c r="K25" s="43"/>
      <c r="L25" s="3"/>
      <c r="M25" s="3"/>
    </row>
    <row r="26" spans="1:17" x14ac:dyDescent="0.2">
      <c r="A26" s="2" t="s">
        <v>14</v>
      </c>
      <c r="B26" s="2">
        <v>15.3</v>
      </c>
      <c r="C26" s="41">
        <f>E25+0.00001</f>
        <v>5.1057252500000004E-2</v>
      </c>
      <c r="D26" s="41">
        <f>(C26+E26)/2</f>
        <v>5.3372626249999999E-2</v>
      </c>
      <c r="E26" s="41">
        <v>5.5688000000000001E-2</v>
      </c>
      <c r="F26" s="3">
        <v>660</v>
      </c>
      <c r="G26" s="3"/>
      <c r="H26" s="3">
        <v>650</v>
      </c>
      <c r="I26" s="3">
        <v>220</v>
      </c>
      <c r="J26" s="3"/>
      <c r="K26" s="43"/>
      <c r="L26" s="3"/>
      <c r="M26" s="3"/>
    </row>
    <row r="27" spans="1:17" x14ac:dyDescent="0.2">
      <c r="A27" s="2" t="s">
        <v>15</v>
      </c>
      <c r="B27" s="2">
        <v>16.100000000000001</v>
      </c>
      <c r="C27" s="41">
        <v>5.5688010000000003E-2</v>
      </c>
      <c r="D27" s="41">
        <f t="shared" si="1"/>
        <v>6.3813752500000001E-2</v>
      </c>
      <c r="E27" s="42">
        <f>C28-0.00001</f>
        <v>6.2638757500000003E-2</v>
      </c>
      <c r="F27" s="3">
        <v>649</v>
      </c>
      <c r="G27" s="3"/>
      <c r="H27" s="3">
        <v>219</v>
      </c>
      <c r="I27" s="3"/>
      <c r="J27" s="3"/>
      <c r="K27" s="43"/>
      <c r="L27" s="3"/>
      <c r="M27" s="3"/>
    </row>
    <row r="28" spans="1:17" x14ac:dyDescent="0.2">
      <c r="A28" s="2" t="s">
        <v>15</v>
      </c>
      <c r="B28" s="2">
        <v>16.2</v>
      </c>
      <c r="C28" s="41">
        <f>(C27+D28)/2</f>
        <v>6.2648757499999999E-2</v>
      </c>
      <c r="D28" s="41">
        <f t="shared" si="1"/>
        <v>6.9609505000000002E-2</v>
      </c>
      <c r="E28" s="41">
        <f>+(D28+E29)/2</f>
        <v>7.6570252499999991E-2</v>
      </c>
      <c r="F28" s="3"/>
      <c r="G28" s="3">
        <v>640</v>
      </c>
      <c r="H28" s="3"/>
      <c r="I28" s="3"/>
      <c r="J28" s="3"/>
      <c r="K28" s="43">
        <v>850</v>
      </c>
      <c r="L28" s="3"/>
      <c r="M28" s="3"/>
    </row>
    <row r="29" spans="1:17" x14ac:dyDescent="0.2">
      <c r="A29" s="2" t="s">
        <v>15</v>
      </c>
      <c r="B29" s="2">
        <v>16.3</v>
      </c>
      <c r="C29" s="41">
        <f>E28+0.00001</f>
        <v>7.6580252499999987E-2</v>
      </c>
      <c r="D29" s="41">
        <f t="shared" si="1"/>
        <v>8.8824378750000002E-2</v>
      </c>
      <c r="E29" s="41">
        <v>8.3530999999999994E-2</v>
      </c>
      <c r="F29" s="3">
        <v>639</v>
      </c>
      <c r="G29" s="3">
        <v>630</v>
      </c>
      <c r="H29" s="3"/>
      <c r="I29" s="3">
        <v>180</v>
      </c>
      <c r="J29" s="3">
        <v>849</v>
      </c>
      <c r="K29" s="43"/>
      <c r="L29" s="3"/>
      <c r="M29" s="3"/>
    </row>
    <row r="30" spans="1:17" x14ac:dyDescent="0.2">
      <c r="A30" s="2" t="s">
        <v>16</v>
      </c>
      <c r="B30" s="2">
        <v>17</v>
      </c>
      <c r="C30" s="41">
        <v>8.3531099999999997E-2</v>
      </c>
      <c r="D30" s="10">
        <f t="shared" ref="D30:D32" si="2">(C30+E30)/2</f>
        <v>9.9265550000000008E-2</v>
      </c>
      <c r="E30" s="42">
        <v>0.115</v>
      </c>
      <c r="F30" s="3">
        <v>629</v>
      </c>
      <c r="G30" s="3"/>
      <c r="H30" s="3">
        <v>179</v>
      </c>
      <c r="I30" s="3">
        <v>155</v>
      </c>
      <c r="J30" s="3"/>
      <c r="K30" s="43">
        <v>800</v>
      </c>
      <c r="L30" s="3">
        <v>550</v>
      </c>
      <c r="M30" s="3">
        <v>530</v>
      </c>
    </row>
    <row r="31" spans="1:17" x14ac:dyDescent="0.2">
      <c r="A31" s="2" t="s">
        <v>17</v>
      </c>
      <c r="B31" s="2">
        <v>18</v>
      </c>
      <c r="C31" s="42">
        <v>0.11500009999999999</v>
      </c>
      <c r="D31" s="10">
        <f t="shared" si="2"/>
        <v>0.12750005</v>
      </c>
      <c r="E31" s="42">
        <v>0.14000000000000001</v>
      </c>
      <c r="F31" s="3"/>
      <c r="G31" s="3"/>
      <c r="H31" s="3">
        <v>154</v>
      </c>
      <c r="I31" s="3">
        <v>120</v>
      </c>
      <c r="J31" s="3">
        <v>750</v>
      </c>
      <c r="K31" s="43">
        <v>799</v>
      </c>
      <c r="L31" s="3">
        <v>520</v>
      </c>
      <c r="M31" s="3">
        <v>500</v>
      </c>
    </row>
    <row r="32" spans="1:17" x14ac:dyDescent="0.2">
      <c r="A32" s="2" t="s">
        <v>18</v>
      </c>
      <c r="B32" s="2">
        <v>19</v>
      </c>
      <c r="C32" s="42">
        <v>0.14000009999999999</v>
      </c>
      <c r="D32" s="10">
        <f t="shared" si="2"/>
        <v>0.32000004999999998</v>
      </c>
      <c r="E32" s="41">
        <v>0.5</v>
      </c>
      <c r="F32" s="3"/>
      <c r="G32" s="3"/>
      <c r="H32" s="3">
        <v>119</v>
      </c>
      <c r="I32" s="3">
        <v>80</v>
      </c>
      <c r="J32" s="3">
        <v>749</v>
      </c>
      <c r="K32" s="43">
        <v>700</v>
      </c>
      <c r="L32" s="3">
        <v>499</v>
      </c>
      <c r="M32" s="3">
        <v>300</v>
      </c>
    </row>
    <row r="33" spans="1:13" x14ac:dyDescent="0.2">
      <c r="A33" s="2" t="s">
        <v>19</v>
      </c>
      <c r="B33" s="2">
        <v>20</v>
      </c>
      <c r="C33" s="42">
        <f>E32+0.00001</f>
        <v>0.50000999999999995</v>
      </c>
      <c r="D33" s="10">
        <f>(C33+E33)/2</f>
        <v>0.75000500000000003</v>
      </c>
      <c r="E33" s="10">
        <v>1</v>
      </c>
      <c r="F33" s="3"/>
      <c r="G33" s="3">
        <v>500</v>
      </c>
      <c r="H33" s="3">
        <v>79</v>
      </c>
      <c r="I33" s="3">
        <v>0</v>
      </c>
      <c r="J33" s="3">
        <v>619</v>
      </c>
      <c r="K33" s="43">
        <v>0</v>
      </c>
      <c r="L33" s="3"/>
      <c r="M33" s="3"/>
    </row>
    <row r="34" spans="1:13" x14ac:dyDescent="0.2">
      <c r="A34" s="1"/>
      <c r="D34" s="14"/>
    </row>
    <row r="35" spans="1:13" x14ac:dyDescent="0.2">
      <c r="A35" s="1"/>
      <c r="D35" s="14"/>
    </row>
    <row r="36" spans="1:13" x14ac:dyDescent="0.2">
      <c r="A36" s="1"/>
      <c r="D36" s="14"/>
    </row>
    <row r="38" spans="1:13" x14ac:dyDescent="0.2">
      <c r="A38" s="9" t="s">
        <v>35</v>
      </c>
    </row>
    <row r="39" spans="1:13" x14ac:dyDescent="0.2">
      <c r="A39" s="8" t="s">
        <v>36</v>
      </c>
    </row>
    <row r="40" spans="1:13" x14ac:dyDescent="0.2">
      <c r="A40" s="8" t="s">
        <v>37</v>
      </c>
    </row>
    <row r="41" spans="1:13" x14ac:dyDescent="0.2">
      <c r="A41" s="8" t="s">
        <v>38</v>
      </c>
    </row>
    <row r="42" spans="1:13" x14ac:dyDescent="0.2">
      <c r="A42" s="8" t="s">
        <v>39</v>
      </c>
    </row>
    <row r="43" spans="1:13" x14ac:dyDescent="0.2">
      <c r="A43" s="8"/>
    </row>
    <row r="44" spans="1:13" x14ac:dyDescent="0.2">
      <c r="A44" s="8"/>
    </row>
    <row r="45" spans="1:13" x14ac:dyDescent="0.2">
      <c r="A45" s="8"/>
    </row>
  </sheetData>
  <mergeCells count="7">
    <mergeCell ref="A4:B4"/>
    <mergeCell ref="C4:E4"/>
    <mergeCell ref="L4:M4"/>
    <mergeCell ref="F3:M3"/>
    <mergeCell ref="F4:G4"/>
    <mergeCell ref="H4:I4"/>
    <mergeCell ref="J4:K4"/>
  </mergeCells>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6127D-E5A4-4672-A11B-52276171ECD0}">
  <sheetPr codeName="Sheet6"/>
  <dimension ref="A1:U30"/>
  <sheetViews>
    <sheetView workbookViewId="0">
      <selection activeCell="K2" sqref="K2:M21"/>
    </sheetView>
  </sheetViews>
  <sheetFormatPr baseColWidth="10" defaultColWidth="8.83203125" defaultRowHeight="15" x14ac:dyDescent="0.2"/>
  <cols>
    <col min="1" max="1" width="21.1640625" bestFit="1" customWidth="1"/>
    <col min="2" max="2" width="16.33203125" bestFit="1" customWidth="1"/>
    <col min="4" max="4" width="21.83203125" bestFit="1" customWidth="1"/>
    <col min="5" max="5" width="16.33203125" bestFit="1" customWidth="1"/>
  </cols>
  <sheetData>
    <row r="1" spans="1:21" ht="19" x14ac:dyDescent="0.2">
      <c r="A1" s="16" t="s">
        <v>41</v>
      </c>
      <c r="B1" s="16" t="s">
        <v>42</v>
      </c>
      <c r="D1" s="16" t="s">
        <v>57</v>
      </c>
      <c r="E1" s="16" t="s">
        <v>42</v>
      </c>
      <c r="G1" s="36" t="s">
        <v>100</v>
      </c>
      <c r="H1" s="36"/>
      <c r="I1" s="36"/>
      <c r="O1" s="186" t="s">
        <v>74</v>
      </c>
      <c r="P1" s="186"/>
      <c r="Q1" s="186"/>
      <c r="R1" s="186"/>
      <c r="S1" s="186"/>
      <c r="T1" s="186"/>
      <c r="U1" s="186"/>
    </row>
    <row r="2" spans="1:21" ht="19" x14ac:dyDescent="0.2">
      <c r="A2" s="40" t="s">
        <v>43</v>
      </c>
      <c r="B2" s="40" t="s">
        <v>44</v>
      </c>
      <c r="D2" s="40" t="s">
        <v>58</v>
      </c>
      <c r="E2" s="40" t="s">
        <v>59</v>
      </c>
      <c r="G2" s="37" t="s">
        <v>101</v>
      </c>
      <c r="H2" s="37"/>
      <c r="I2" s="37"/>
      <c r="K2" s="36" t="s">
        <v>102</v>
      </c>
      <c r="L2" s="37"/>
      <c r="M2" s="37"/>
      <c r="N2" s="37"/>
    </row>
    <row r="3" spans="1:21" x14ac:dyDescent="0.2">
      <c r="A3" s="40" t="s">
        <v>45</v>
      </c>
      <c r="B3" s="40" t="s">
        <v>46</v>
      </c>
      <c r="D3" s="40" t="s">
        <v>60</v>
      </c>
      <c r="E3" s="40" t="s">
        <v>61</v>
      </c>
      <c r="G3" s="37"/>
      <c r="H3" s="37"/>
      <c r="I3" s="37"/>
      <c r="K3" s="37" t="s">
        <v>103</v>
      </c>
      <c r="L3" s="37"/>
      <c r="M3" s="37"/>
      <c r="N3" s="37"/>
      <c r="O3" s="17"/>
      <c r="P3" s="17"/>
      <c r="Q3" s="17"/>
      <c r="R3" s="17"/>
      <c r="S3" s="17"/>
      <c r="T3" s="17"/>
      <c r="U3" s="17"/>
    </row>
    <row r="4" spans="1:21" x14ac:dyDescent="0.2">
      <c r="A4" s="40" t="s">
        <v>47</v>
      </c>
      <c r="B4" s="40" t="s">
        <v>48</v>
      </c>
      <c r="D4" s="40" t="s">
        <v>62</v>
      </c>
      <c r="E4" s="40" t="s">
        <v>63</v>
      </c>
      <c r="G4" s="38">
        <v>500</v>
      </c>
      <c r="H4" s="39">
        <v>0.45</v>
      </c>
      <c r="I4" s="37"/>
      <c r="K4" s="37"/>
      <c r="L4" s="37"/>
      <c r="M4" s="37"/>
      <c r="N4" s="37"/>
      <c r="O4" s="18"/>
      <c r="P4" s="187" t="s">
        <v>75</v>
      </c>
      <c r="Q4" s="188"/>
      <c r="R4" s="19"/>
      <c r="S4" s="20"/>
      <c r="T4" s="187" t="s">
        <v>76</v>
      </c>
      <c r="U4" s="188"/>
    </row>
    <row r="5" spans="1:21" x14ac:dyDescent="0.2">
      <c r="A5" s="40" t="s">
        <v>49</v>
      </c>
      <c r="B5" s="40" t="s">
        <v>50</v>
      </c>
      <c r="D5" s="40" t="s">
        <v>64</v>
      </c>
      <c r="E5" s="40" t="s">
        <v>65</v>
      </c>
      <c r="G5" s="38">
        <v>540</v>
      </c>
      <c r="H5" s="39">
        <v>0.41700000000000004</v>
      </c>
      <c r="I5" s="37"/>
      <c r="K5" s="38">
        <v>300</v>
      </c>
      <c r="L5" s="39">
        <v>0.19800000000000001</v>
      </c>
      <c r="M5" s="37"/>
      <c r="N5" s="37"/>
      <c r="O5" s="21"/>
      <c r="P5" s="22" t="s">
        <v>77</v>
      </c>
      <c r="Q5" s="23" t="s">
        <v>78</v>
      </c>
      <c r="R5" s="19"/>
      <c r="S5" s="24"/>
      <c r="T5" s="22" t="s">
        <v>77</v>
      </c>
      <c r="U5" s="23" t="s">
        <v>78</v>
      </c>
    </row>
    <row r="6" spans="1:21" ht="37" x14ac:dyDescent="0.2">
      <c r="A6" s="40" t="s">
        <v>51</v>
      </c>
      <c r="B6" s="40" t="s">
        <v>52</v>
      </c>
      <c r="D6" s="40" t="s">
        <v>66</v>
      </c>
      <c r="E6" s="40" t="s">
        <v>67</v>
      </c>
      <c r="G6" s="38">
        <v>550</v>
      </c>
      <c r="H6" s="39">
        <v>0.40100000000000002</v>
      </c>
      <c r="I6" s="37"/>
      <c r="K6" s="38">
        <v>500</v>
      </c>
      <c r="L6" s="39">
        <v>0.14000000000000001</v>
      </c>
      <c r="M6" s="37"/>
      <c r="N6" s="37"/>
      <c r="O6" s="25"/>
      <c r="P6" s="26" t="s">
        <v>79</v>
      </c>
      <c r="Q6" s="27" t="s">
        <v>80</v>
      </c>
      <c r="R6" s="19"/>
      <c r="S6" s="25"/>
      <c r="T6" s="26" t="s">
        <v>79</v>
      </c>
      <c r="U6" s="27" t="s">
        <v>80</v>
      </c>
    </row>
    <row r="7" spans="1:21" x14ac:dyDescent="0.2">
      <c r="A7" s="40" t="s">
        <v>53</v>
      </c>
      <c r="B7" s="40" t="s">
        <v>54</v>
      </c>
      <c r="D7" s="40" t="s">
        <v>68</v>
      </c>
      <c r="E7" s="40" t="s">
        <v>69</v>
      </c>
      <c r="G7" s="38">
        <v>560</v>
      </c>
      <c r="H7" s="39">
        <v>0.36799999999999999</v>
      </c>
      <c r="I7" s="37"/>
      <c r="K7" s="38">
        <v>520</v>
      </c>
      <c r="L7" s="39">
        <v>0.1</v>
      </c>
      <c r="M7" s="37"/>
      <c r="N7" s="37"/>
      <c r="O7" s="28" t="s">
        <v>81</v>
      </c>
      <c r="P7" s="28"/>
      <c r="Q7" s="29"/>
      <c r="R7" s="19"/>
      <c r="S7" s="28" t="s">
        <v>81</v>
      </c>
      <c r="T7" s="28"/>
      <c r="U7" s="29"/>
    </row>
    <row r="8" spans="1:21" x14ac:dyDescent="0.2">
      <c r="A8" s="40" t="s">
        <v>55</v>
      </c>
      <c r="B8" s="40" t="s">
        <v>56</v>
      </c>
      <c r="D8" s="40" t="s">
        <v>70</v>
      </c>
      <c r="E8" s="40" t="s">
        <v>71</v>
      </c>
      <c r="G8" s="38">
        <v>570</v>
      </c>
      <c r="H8" s="39">
        <v>0.318</v>
      </c>
      <c r="I8" s="37"/>
      <c r="K8" s="38">
        <v>540</v>
      </c>
      <c r="L8" s="39">
        <v>9.6999999999999989E-2</v>
      </c>
      <c r="M8" s="37"/>
      <c r="N8" s="37"/>
      <c r="O8" s="28" t="s">
        <v>82</v>
      </c>
      <c r="P8" s="30">
        <v>0</v>
      </c>
      <c r="Q8" s="31">
        <v>1.85E-4</v>
      </c>
      <c r="R8" s="19"/>
      <c r="S8" s="28" t="s">
        <v>82</v>
      </c>
      <c r="T8" s="32">
        <v>0</v>
      </c>
      <c r="U8" s="31">
        <v>2.8449999999999999E-3</v>
      </c>
    </row>
    <row r="9" spans="1:21" x14ac:dyDescent="0.2">
      <c r="D9" s="40" t="s">
        <v>72</v>
      </c>
      <c r="E9" s="40" t="s">
        <v>73</v>
      </c>
      <c r="G9" s="38">
        <v>580</v>
      </c>
      <c r="H9" s="39">
        <v>0.26200000000000001</v>
      </c>
      <c r="I9" s="37"/>
      <c r="K9" s="38">
        <v>560</v>
      </c>
      <c r="L9" s="39">
        <v>6.8000000000000005E-2</v>
      </c>
      <c r="M9" s="37"/>
      <c r="N9" s="37"/>
      <c r="O9" s="28" t="s">
        <v>83</v>
      </c>
      <c r="P9" s="32">
        <v>1.85E-4</v>
      </c>
      <c r="Q9" s="31">
        <v>3.0800000000000001E-4</v>
      </c>
      <c r="R9" s="19"/>
      <c r="S9" s="28" t="s">
        <v>83</v>
      </c>
      <c r="T9" s="32">
        <v>2.8449999999999999E-3</v>
      </c>
      <c r="U9" s="31">
        <v>3.8409999999999998E-3</v>
      </c>
    </row>
    <row r="10" spans="1:21" x14ac:dyDescent="0.2">
      <c r="G10" s="38">
        <v>590</v>
      </c>
      <c r="H10" s="39">
        <v>0.22699999999999998</v>
      </c>
      <c r="I10" s="37"/>
      <c r="K10" s="38">
        <v>580</v>
      </c>
      <c r="L10" s="39">
        <v>5.4000000000000006E-2</v>
      </c>
      <c r="M10" s="37"/>
      <c r="N10" s="37"/>
      <c r="O10" s="28" t="s">
        <v>84</v>
      </c>
      <c r="P10" s="32">
        <v>3.0800000000000001E-4</v>
      </c>
      <c r="Q10" s="31">
        <v>5.1400000000000003E-4</v>
      </c>
      <c r="R10" s="19"/>
      <c r="S10" s="28" t="s">
        <v>84</v>
      </c>
      <c r="T10" s="32">
        <v>3.8409999999999998E-3</v>
      </c>
      <c r="U10" s="31">
        <v>5.1850000000000004E-3</v>
      </c>
    </row>
    <row r="11" spans="1:21" x14ac:dyDescent="0.2">
      <c r="G11" s="38">
        <v>600</v>
      </c>
      <c r="H11" s="39">
        <v>0.187</v>
      </c>
      <c r="I11" s="37"/>
      <c r="K11" s="38">
        <v>600</v>
      </c>
      <c r="L11" s="39">
        <v>4.8000000000000001E-2</v>
      </c>
      <c r="M11" s="37"/>
      <c r="N11" s="37"/>
      <c r="O11" s="28" t="s">
        <v>85</v>
      </c>
      <c r="P11" s="32">
        <v>5.1400000000000003E-4</v>
      </c>
      <c r="Q11" s="31">
        <v>8.5700000000000001E-4</v>
      </c>
      <c r="R11" s="19"/>
      <c r="S11" s="28" t="s">
        <v>85</v>
      </c>
      <c r="T11" s="32">
        <v>5.1850000000000004E-3</v>
      </c>
      <c r="U11" s="31">
        <v>7.0000000000000001E-3</v>
      </c>
    </row>
    <row r="12" spans="1:21" x14ac:dyDescent="0.2">
      <c r="G12" s="38">
        <v>610</v>
      </c>
      <c r="H12" s="39">
        <v>0.14400000000000002</v>
      </c>
      <c r="I12" s="37"/>
      <c r="K12" s="38">
        <v>620</v>
      </c>
      <c r="L12" s="39">
        <v>4.2999999999999997E-2</v>
      </c>
      <c r="M12" s="37"/>
      <c r="N12" s="37"/>
      <c r="O12" s="28" t="s">
        <v>86</v>
      </c>
      <c r="P12" s="32">
        <v>8.5700000000000001E-4</v>
      </c>
      <c r="Q12" s="31">
        <v>1.428E-3</v>
      </c>
      <c r="R12" s="19"/>
      <c r="S12" s="28" t="s">
        <v>86</v>
      </c>
      <c r="T12" s="32">
        <v>7.0000000000000001E-3</v>
      </c>
      <c r="U12" s="31">
        <v>8.6E-3</v>
      </c>
    </row>
    <row r="13" spans="1:21" x14ac:dyDescent="0.2">
      <c r="G13" s="38">
        <v>620</v>
      </c>
      <c r="H13" s="39">
        <v>0.11599999999999999</v>
      </c>
      <c r="I13" s="37"/>
      <c r="K13" s="38">
        <v>640</v>
      </c>
      <c r="L13" s="39">
        <v>4.2000000000000003E-2</v>
      </c>
      <c r="M13" s="37"/>
      <c r="N13" s="37"/>
      <c r="O13" s="28" t="s">
        <v>87</v>
      </c>
      <c r="P13" s="32">
        <v>1.428E-3</v>
      </c>
      <c r="Q13" s="31">
        <v>1.7849999999999999E-3</v>
      </c>
      <c r="R13" s="19"/>
      <c r="S13" s="28" t="s">
        <v>87</v>
      </c>
      <c r="T13" s="32">
        <v>8.6E-3</v>
      </c>
      <c r="U13" s="31">
        <v>0.01</v>
      </c>
    </row>
    <row r="14" spans="1:21" x14ac:dyDescent="0.2">
      <c r="G14" s="38">
        <v>630</v>
      </c>
      <c r="H14" s="39">
        <v>9.1999999999999998E-2</v>
      </c>
      <c r="I14" s="37"/>
      <c r="K14" s="38">
        <v>660</v>
      </c>
      <c r="L14" s="39">
        <v>3.7000000000000005E-2</v>
      </c>
      <c r="M14" s="37"/>
      <c r="N14" s="37"/>
      <c r="O14" s="28" t="s">
        <v>88</v>
      </c>
      <c r="P14" s="32">
        <v>1.7849999999999999E-3</v>
      </c>
      <c r="Q14" s="31">
        <v>2.2309999999999999E-3</v>
      </c>
      <c r="R14" s="19"/>
      <c r="S14" s="28" t="s">
        <v>88</v>
      </c>
      <c r="T14" s="32">
        <v>0.01</v>
      </c>
      <c r="U14" s="31">
        <v>1.3454000000000001E-2</v>
      </c>
    </row>
    <row r="15" spans="1:21" x14ac:dyDescent="0.2">
      <c r="G15" s="38">
        <v>640</v>
      </c>
      <c r="H15" s="39">
        <v>7.0000000000000007E-2</v>
      </c>
      <c r="I15" s="37"/>
      <c r="K15" s="38">
        <v>680</v>
      </c>
      <c r="L15" s="39">
        <v>2.7000000000000003E-2</v>
      </c>
      <c r="M15" s="37"/>
      <c r="N15" s="37"/>
      <c r="O15" s="28" t="s">
        <v>89</v>
      </c>
      <c r="P15" s="32">
        <v>2.2309999999999999E-3</v>
      </c>
      <c r="Q15" s="31">
        <v>2.7889999999999998E-3</v>
      </c>
      <c r="R15" s="19"/>
      <c r="S15" s="28" t="s">
        <v>89</v>
      </c>
      <c r="T15" s="32">
        <v>1.3454000000000001E-2</v>
      </c>
      <c r="U15" s="31">
        <v>2.0029000000000002E-2</v>
      </c>
    </row>
    <row r="16" spans="1:21" x14ac:dyDescent="0.2">
      <c r="G16" s="38">
        <v>650</v>
      </c>
      <c r="H16" s="39">
        <v>5.0999999999999997E-2</v>
      </c>
      <c r="I16" s="37"/>
      <c r="K16" s="38">
        <v>700</v>
      </c>
      <c r="L16" s="39">
        <v>2.2000000000000002E-2</v>
      </c>
      <c r="M16" s="37"/>
      <c r="N16" s="37"/>
      <c r="O16" s="28" t="s">
        <v>90</v>
      </c>
      <c r="P16" s="32">
        <v>2.7889999999999998E-3</v>
      </c>
      <c r="Q16" s="31">
        <v>4.2900000000000004E-3</v>
      </c>
      <c r="R16" s="19"/>
      <c r="S16" s="28" t="s">
        <v>90</v>
      </c>
      <c r="T16" s="32">
        <v>2.0029000000000002E-2</v>
      </c>
      <c r="U16" s="31">
        <v>2.9676000000000001E-2</v>
      </c>
    </row>
    <row r="17" spans="7:21" x14ac:dyDescent="0.2">
      <c r="G17" s="38">
        <v>660</v>
      </c>
      <c r="H17" s="39">
        <v>3.7999999999999999E-2</v>
      </c>
      <c r="I17" s="37"/>
      <c r="K17" s="38">
        <v>720</v>
      </c>
      <c r="L17" s="39">
        <v>1.4999999999999999E-2</v>
      </c>
      <c r="M17" s="37"/>
      <c r="N17" s="37"/>
      <c r="O17" s="28" t="s">
        <v>91</v>
      </c>
      <c r="P17" s="32">
        <v>4.2900000000000004E-3</v>
      </c>
      <c r="Q17" s="31">
        <v>6.6E-3</v>
      </c>
      <c r="R17" s="19"/>
      <c r="S17" s="28" t="s">
        <v>91</v>
      </c>
      <c r="T17" s="32">
        <v>2.9676000000000001E-2</v>
      </c>
      <c r="U17" s="31">
        <v>4.3666999999999997E-2</v>
      </c>
    </row>
    <row r="18" spans="7:21" x14ac:dyDescent="0.2">
      <c r="G18" s="38">
        <v>670</v>
      </c>
      <c r="H18" s="39">
        <v>2.6000000000000002E-2</v>
      </c>
      <c r="I18" s="37"/>
      <c r="K18" s="38">
        <v>740</v>
      </c>
      <c r="L18" s="39">
        <v>0.01</v>
      </c>
      <c r="M18" s="37"/>
      <c r="N18" s="37"/>
      <c r="O18" s="28" t="s">
        <v>92</v>
      </c>
      <c r="P18" s="32">
        <v>6.6E-3</v>
      </c>
      <c r="Q18" s="31">
        <v>1.0999999999999999E-2</v>
      </c>
      <c r="R18" s="19"/>
      <c r="S18" s="28" t="s">
        <v>92</v>
      </c>
      <c r="T18" s="32">
        <v>4.3666999999999997E-2</v>
      </c>
      <c r="U18" s="31">
        <v>5.8950000000000002E-2</v>
      </c>
    </row>
    <row r="19" spans="7:21" x14ac:dyDescent="0.2">
      <c r="G19" s="38">
        <v>680</v>
      </c>
      <c r="H19" s="39">
        <v>1.9E-2</v>
      </c>
      <c r="I19" s="37"/>
      <c r="K19" s="38">
        <v>760</v>
      </c>
      <c r="L19" s="39">
        <v>5.0000000000000001E-3</v>
      </c>
      <c r="M19" s="37"/>
      <c r="N19" s="37"/>
      <c r="O19" s="28" t="s">
        <v>93</v>
      </c>
      <c r="P19" s="32">
        <v>1.0999999999999999E-2</v>
      </c>
      <c r="Q19" s="31">
        <v>1.6500000000000001E-2</v>
      </c>
      <c r="R19" s="19"/>
      <c r="S19" s="28" t="s">
        <v>93</v>
      </c>
      <c r="T19" s="32">
        <v>5.8950000000000002E-2</v>
      </c>
      <c r="U19" s="31">
        <v>7.6634999999999995E-2</v>
      </c>
    </row>
    <row r="20" spans="7:21" x14ac:dyDescent="0.2">
      <c r="G20" s="38">
        <v>690</v>
      </c>
      <c r="H20" s="39">
        <v>1.4999999999999999E-2</v>
      </c>
      <c r="I20" s="37"/>
      <c r="K20" s="38">
        <v>780</v>
      </c>
      <c r="L20" s="39">
        <v>4.0000000000000001E-3</v>
      </c>
      <c r="M20" s="37"/>
      <c r="N20" s="37"/>
      <c r="O20" s="28" t="s">
        <v>94</v>
      </c>
      <c r="P20" s="32">
        <v>1.6500000000000001E-2</v>
      </c>
      <c r="Q20" s="31">
        <v>2.4750000000000001E-2</v>
      </c>
      <c r="R20" s="19"/>
      <c r="S20" s="28" t="s">
        <v>94</v>
      </c>
      <c r="T20" s="32">
        <v>7.6634999999999995E-2</v>
      </c>
      <c r="U20" s="31">
        <v>9.9626000000000006E-2</v>
      </c>
    </row>
    <row r="21" spans="7:21" x14ac:dyDescent="0.2">
      <c r="G21" s="38">
        <v>700</v>
      </c>
      <c r="H21" s="39">
        <v>1.1000000000000001E-2</v>
      </c>
      <c r="I21" s="37"/>
      <c r="K21" s="38">
        <v>800</v>
      </c>
      <c r="L21" s="39">
        <v>2E-3</v>
      </c>
      <c r="M21" s="37"/>
      <c r="N21" s="37"/>
      <c r="O21" s="28" t="s">
        <v>95</v>
      </c>
      <c r="P21" s="32">
        <v>2.4750000000000001E-2</v>
      </c>
      <c r="Q21" s="31">
        <v>3.7124999999999998E-2</v>
      </c>
      <c r="R21" s="19"/>
      <c r="S21" s="28" t="s">
        <v>95</v>
      </c>
      <c r="T21" s="32">
        <v>9.9626000000000006E-2</v>
      </c>
      <c r="U21" s="31">
        <v>0.12951299999999999</v>
      </c>
    </row>
    <row r="22" spans="7:21" x14ac:dyDescent="0.2">
      <c r="G22" s="38">
        <v>710</v>
      </c>
      <c r="H22" s="39">
        <v>9.0000000000000011E-3</v>
      </c>
      <c r="I22" s="37"/>
      <c r="K22" s="37"/>
      <c r="L22" s="37"/>
      <c r="M22" s="37"/>
      <c r="N22" s="37"/>
      <c r="O22" s="28" t="s">
        <v>96</v>
      </c>
      <c r="P22" s="32">
        <v>3.7124999999999998E-2</v>
      </c>
      <c r="Q22" s="31">
        <v>5.5688000000000001E-2</v>
      </c>
      <c r="R22" s="19"/>
      <c r="S22" s="28" t="s">
        <v>96</v>
      </c>
      <c r="T22" s="32">
        <v>0.12951299999999999</v>
      </c>
      <c r="U22" s="31">
        <v>0.16836699999999999</v>
      </c>
    </row>
    <row r="23" spans="7:21" x14ac:dyDescent="0.2">
      <c r="G23" s="38">
        <v>720</v>
      </c>
      <c r="H23" s="39">
        <v>6.9999999999999993E-3</v>
      </c>
      <c r="I23" s="37"/>
      <c r="K23" s="37"/>
      <c r="L23" s="37"/>
      <c r="M23" s="37"/>
      <c r="N23" s="37"/>
      <c r="O23" s="28" t="s">
        <v>97</v>
      </c>
      <c r="P23" s="32">
        <v>5.5688000000000001E-2</v>
      </c>
      <c r="Q23" s="31">
        <v>8.3530999999999994E-2</v>
      </c>
      <c r="R23" s="19"/>
      <c r="S23" s="28" t="s">
        <v>97</v>
      </c>
      <c r="T23" s="32">
        <v>0.16836699999999999</v>
      </c>
      <c r="U23" s="31">
        <v>0.21887699999999999</v>
      </c>
    </row>
    <row r="24" spans="7:21" x14ac:dyDescent="0.2">
      <c r="G24" s="38">
        <v>730</v>
      </c>
      <c r="H24" s="39">
        <v>6.0000000000000001E-3</v>
      </c>
      <c r="I24" s="37"/>
      <c r="K24" s="37" t="s">
        <v>104</v>
      </c>
      <c r="L24" s="37"/>
      <c r="M24" s="37"/>
      <c r="N24" s="37"/>
      <c r="O24" s="33" t="s">
        <v>98</v>
      </c>
      <c r="P24" s="34">
        <v>8.3530999999999994E-2</v>
      </c>
      <c r="Q24" s="35">
        <v>1</v>
      </c>
      <c r="R24" s="19"/>
      <c r="S24" s="33" t="s">
        <v>98</v>
      </c>
      <c r="T24" s="34">
        <v>0.21887699999999999</v>
      </c>
      <c r="U24" s="35">
        <v>1</v>
      </c>
    </row>
    <row r="25" spans="7:21" x14ac:dyDescent="0.2">
      <c r="G25" s="38">
        <v>740</v>
      </c>
      <c r="H25" s="39">
        <v>5.0000000000000001E-3</v>
      </c>
      <c r="I25" s="37"/>
      <c r="K25" s="190" t="s">
        <v>105</v>
      </c>
      <c r="L25" s="190"/>
      <c r="M25" s="37"/>
      <c r="N25" s="37"/>
      <c r="O25" s="17"/>
      <c r="P25" s="17"/>
      <c r="Q25" s="17"/>
      <c r="R25" s="17"/>
      <c r="S25" s="17"/>
      <c r="T25" s="17"/>
      <c r="U25" s="17"/>
    </row>
    <row r="26" spans="7:21" x14ac:dyDescent="0.2">
      <c r="G26" s="38">
        <v>750</v>
      </c>
      <c r="H26" s="39">
        <v>4.0000000000000001E-3</v>
      </c>
      <c r="I26" s="37"/>
      <c r="K26" s="190"/>
      <c r="L26" s="190"/>
      <c r="M26" s="37"/>
      <c r="N26" s="37"/>
      <c r="O26" s="189" t="s">
        <v>99</v>
      </c>
      <c r="P26" s="189"/>
      <c r="Q26" s="189"/>
      <c r="R26" s="189"/>
      <c r="S26" s="189"/>
      <c r="T26" s="189"/>
      <c r="U26" s="189"/>
    </row>
    <row r="27" spans="7:21" x14ac:dyDescent="0.2">
      <c r="G27" s="38">
        <v>760</v>
      </c>
      <c r="H27" s="39">
        <v>4.0000000000000001E-3</v>
      </c>
      <c r="I27" s="37"/>
      <c r="K27" s="190"/>
      <c r="L27" s="190"/>
      <c r="M27" s="37"/>
      <c r="N27" s="37"/>
    </row>
    <row r="28" spans="7:21" x14ac:dyDescent="0.2">
      <c r="G28" s="38">
        <v>770</v>
      </c>
      <c r="H28" s="39">
        <v>3.0000000000000001E-3</v>
      </c>
      <c r="I28" s="37"/>
      <c r="K28" s="190"/>
      <c r="L28" s="190"/>
      <c r="M28" s="37"/>
      <c r="N28" s="37"/>
    </row>
    <row r="29" spans="7:21" x14ac:dyDescent="0.2">
      <c r="G29" s="38">
        <v>780</v>
      </c>
      <c r="H29" s="39">
        <v>2E-3</v>
      </c>
      <c r="I29" s="37"/>
      <c r="K29" s="190"/>
      <c r="L29" s="190"/>
      <c r="M29" s="37"/>
      <c r="N29" s="37"/>
    </row>
    <row r="30" spans="7:21" x14ac:dyDescent="0.2">
      <c r="G30" s="38">
        <v>790</v>
      </c>
      <c r="H30" s="39">
        <v>2E-3</v>
      </c>
      <c r="I30" s="37"/>
    </row>
  </sheetData>
  <mergeCells count="5">
    <mergeCell ref="O1:U1"/>
    <mergeCell ref="P4:Q4"/>
    <mergeCell ref="T4:U4"/>
    <mergeCell ref="O26:U26"/>
    <mergeCell ref="K25:L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D737-E033-48D9-BB45-09CB9B5F808F}">
  <sheetPr codeName="Sheet7"/>
  <dimension ref="A2:AI177"/>
  <sheetViews>
    <sheetView zoomScale="90" zoomScaleNormal="90" workbookViewId="0">
      <selection activeCell="AB36" sqref="AB36"/>
    </sheetView>
  </sheetViews>
  <sheetFormatPr baseColWidth="10" defaultColWidth="8.83203125" defaultRowHeight="15" x14ac:dyDescent="0.2"/>
  <cols>
    <col min="1" max="1" width="37.6640625" bestFit="1" customWidth="1"/>
    <col min="2" max="2" width="9.5" bestFit="1" customWidth="1"/>
    <col min="3" max="7" width="19.1640625" bestFit="1" customWidth="1"/>
    <col min="8" max="8" width="19.1640625" customWidth="1"/>
    <col min="9" max="9" width="19.1640625" bestFit="1" customWidth="1"/>
    <col min="10" max="10" width="18.83203125" bestFit="1" customWidth="1"/>
    <col min="11" max="11" width="19.5" bestFit="1" customWidth="1"/>
    <col min="12" max="17" width="19.1640625" bestFit="1" customWidth="1"/>
    <col min="18" max="18" width="18" bestFit="1" customWidth="1"/>
    <col min="19" max="20" width="16.83203125" bestFit="1" customWidth="1"/>
    <col min="21" max="21" width="17.33203125" bestFit="1" customWidth="1"/>
    <col min="22" max="25" width="16.83203125" bestFit="1" customWidth="1"/>
    <col min="26" max="26" width="18.83203125" bestFit="1" customWidth="1"/>
    <col min="27" max="28" width="20.6640625" bestFit="1" customWidth="1"/>
    <col min="29" max="29" width="11.1640625" bestFit="1" customWidth="1"/>
  </cols>
  <sheetData>
    <row r="2" spans="1:35" ht="16" thickBot="1" x14ac:dyDescent="0.25"/>
    <row r="3" spans="1:35" ht="16" thickBot="1" x14ac:dyDescent="0.25">
      <c r="A3" s="71" t="s">
        <v>126</v>
      </c>
      <c r="B3" s="68" t="s">
        <v>117</v>
      </c>
      <c r="C3" s="191" t="s">
        <v>118</v>
      </c>
      <c r="D3" s="192"/>
      <c r="E3" s="193"/>
      <c r="F3" s="191" t="s">
        <v>119</v>
      </c>
      <c r="G3" s="192"/>
      <c r="H3" s="193"/>
      <c r="I3" s="191" t="s">
        <v>120</v>
      </c>
      <c r="J3" s="192"/>
      <c r="K3" s="193"/>
      <c r="L3" s="191" t="s">
        <v>123</v>
      </c>
      <c r="M3" s="192"/>
      <c r="N3" s="192"/>
      <c r="O3" s="192"/>
      <c r="P3" s="193"/>
      <c r="Q3" s="191" t="s">
        <v>13</v>
      </c>
      <c r="R3" s="192"/>
      <c r="S3" s="192"/>
      <c r="T3" s="192"/>
      <c r="U3" s="192"/>
      <c r="V3" s="192"/>
      <c r="W3" s="192"/>
      <c r="X3" s="192"/>
      <c r="Y3" s="193"/>
      <c r="Z3" s="191" t="s">
        <v>125</v>
      </c>
      <c r="AA3" s="192"/>
      <c r="AB3" s="193"/>
      <c r="AC3" s="68" t="s">
        <v>19</v>
      </c>
      <c r="AH3" s="44" t="s">
        <v>24</v>
      </c>
      <c r="AI3" s="44"/>
    </row>
    <row r="4" spans="1:35" x14ac:dyDescent="0.2">
      <c r="A4" s="65" t="s">
        <v>121</v>
      </c>
      <c r="B4" s="60" t="s">
        <v>117</v>
      </c>
      <c r="C4" s="58" t="s">
        <v>1</v>
      </c>
      <c r="D4" s="59" t="s">
        <v>2</v>
      </c>
      <c r="E4" s="57" t="s">
        <v>3</v>
      </c>
      <c r="F4" s="58" t="s">
        <v>4</v>
      </c>
      <c r="G4" s="59" t="s">
        <v>5</v>
      </c>
      <c r="H4" s="57" t="s">
        <v>6</v>
      </c>
      <c r="I4" s="58" t="s">
        <v>7</v>
      </c>
      <c r="J4" s="59" t="s">
        <v>8</v>
      </c>
      <c r="K4" s="59" t="s">
        <v>9</v>
      </c>
      <c r="L4" s="59" t="s">
        <v>10</v>
      </c>
      <c r="M4" s="59" t="s">
        <v>11</v>
      </c>
      <c r="N4" s="198" t="s">
        <v>12</v>
      </c>
      <c r="O4" s="198"/>
      <c r="P4" s="199"/>
      <c r="Q4" s="197" t="s">
        <v>13</v>
      </c>
      <c r="R4" s="198"/>
      <c r="S4" s="199"/>
      <c r="T4" s="197" t="s">
        <v>14</v>
      </c>
      <c r="U4" s="198"/>
      <c r="V4" s="199"/>
      <c r="W4" s="197" t="s">
        <v>15</v>
      </c>
      <c r="X4" s="198"/>
      <c r="Y4" s="199"/>
      <c r="Z4" s="59" t="s">
        <v>16</v>
      </c>
      <c r="AA4" s="59" t="s">
        <v>17</v>
      </c>
      <c r="AB4" s="59" t="s">
        <v>18</v>
      </c>
      <c r="AC4" s="60" t="s">
        <v>124</v>
      </c>
      <c r="AH4" s="4" t="s">
        <v>20</v>
      </c>
      <c r="AI4" s="4" t="s">
        <v>21</v>
      </c>
    </row>
    <row r="5" spans="1:35" ht="16" thickBot="1" x14ac:dyDescent="0.25">
      <c r="A5" s="66" t="s">
        <v>122</v>
      </c>
      <c r="B5" s="61">
        <v>1</v>
      </c>
      <c r="C5" s="62">
        <v>2</v>
      </c>
      <c r="D5" s="61">
        <v>3</v>
      </c>
      <c r="E5" s="64">
        <v>4</v>
      </c>
      <c r="F5" s="62">
        <v>5</v>
      </c>
      <c r="G5" s="61">
        <v>6</v>
      </c>
      <c r="H5" s="64">
        <v>7</v>
      </c>
      <c r="I5" s="62">
        <v>8</v>
      </c>
      <c r="J5" s="61">
        <v>9</v>
      </c>
      <c r="K5" s="61">
        <v>10</v>
      </c>
      <c r="L5" s="61">
        <v>11</v>
      </c>
      <c r="M5" s="61">
        <v>12</v>
      </c>
      <c r="N5" s="63">
        <v>13.1</v>
      </c>
      <c r="O5" s="63">
        <v>13.2</v>
      </c>
      <c r="P5" s="64">
        <v>13.3</v>
      </c>
      <c r="Q5" s="62">
        <v>14.1</v>
      </c>
      <c r="R5" s="63">
        <v>14.2</v>
      </c>
      <c r="S5" s="64">
        <v>14.3</v>
      </c>
      <c r="T5" s="62">
        <v>15.1</v>
      </c>
      <c r="U5" s="63">
        <v>15.2</v>
      </c>
      <c r="V5" s="64">
        <v>15.3</v>
      </c>
      <c r="W5" s="62">
        <v>16.100000000000001</v>
      </c>
      <c r="X5" s="63">
        <v>16.2</v>
      </c>
      <c r="Y5" s="64">
        <v>16.3</v>
      </c>
      <c r="Z5" s="61">
        <v>17</v>
      </c>
      <c r="AA5" s="61">
        <v>18</v>
      </c>
      <c r="AB5" s="61">
        <v>19</v>
      </c>
      <c r="AC5" s="61">
        <v>20</v>
      </c>
      <c r="AH5" s="2" t="s">
        <v>0</v>
      </c>
      <c r="AI5" s="2">
        <v>1</v>
      </c>
    </row>
    <row r="6" spans="1:35" x14ac:dyDescent="0.2">
      <c r="AH6" s="2" t="s">
        <v>1</v>
      </c>
      <c r="AI6" s="2">
        <v>2</v>
      </c>
    </row>
    <row r="7" spans="1:35" x14ac:dyDescent="0.2">
      <c r="A7" s="69" t="s">
        <v>127</v>
      </c>
      <c r="AH7" s="2" t="s">
        <v>2</v>
      </c>
      <c r="AI7" s="2">
        <v>3</v>
      </c>
    </row>
    <row r="8" spans="1:35" x14ac:dyDescent="0.2">
      <c r="A8" t="s">
        <v>112</v>
      </c>
      <c r="AH8" s="2" t="s">
        <v>3</v>
      </c>
      <c r="AI8" s="2">
        <v>4</v>
      </c>
    </row>
    <row r="9" spans="1:35" x14ac:dyDescent="0.2">
      <c r="A9" t="s">
        <v>128</v>
      </c>
      <c r="AH9" s="2" t="s">
        <v>4</v>
      </c>
      <c r="AI9" s="2">
        <v>5</v>
      </c>
    </row>
    <row r="10" spans="1:35" x14ac:dyDescent="0.2">
      <c r="A10" t="s">
        <v>129</v>
      </c>
      <c r="AH10" s="2" t="s">
        <v>5</v>
      </c>
      <c r="AI10" s="2">
        <v>6</v>
      </c>
    </row>
    <row r="11" spans="1:35" x14ac:dyDescent="0.2">
      <c r="A11" t="s">
        <v>110</v>
      </c>
      <c r="AH11" s="2" t="s">
        <v>6</v>
      </c>
      <c r="AI11" s="2">
        <v>7</v>
      </c>
    </row>
    <row r="12" spans="1:35" x14ac:dyDescent="0.2">
      <c r="A12" t="s">
        <v>130</v>
      </c>
      <c r="AH12" s="2" t="s">
        <v>7</v>
      </c>
      <c r="AI12" s="2">
        <v>8</v>
      </c>
    </row>
    <row r="13" spans="1:35" x14ac:dyDescent="0.2">
      <c r="A13" t="s">
        <v>114</v>
      </c>
      <c r="AH13" s="2" t="s">
        <v>8</v>
      </c>
      <c r="AI13" s="2">
        <v>9</v>
      </c>
    </row>
    <row r="14" spans="1:35" x14ac:dyDescent="0.2">
      <c r="A14" t="s">
        <v>131</v>
      </c>
      <c r="AH14" s="2" t="s">
        <v>9</v>
      </c>
      <c r="AI14" s="2">
        <v>10</v>
      </c>
    </row>
    <row r="15" spans="1:35" x14ac:dyDescent="0.2">
      <c r="A15" t="s">
        <v>132</v>
      </c>
      <c r="AH15" s="2" t="s">
        <v>10</v>
      </c>
      <c r="AI15" s="2">
        <v>11</v>
      </c>
    </row>
    <row r="16" spans="1:35" x14ac:dyDescent="0.2">
      <c r="AH16" s="2" t="s">
        <v>11</v>
      </c>
      <c r="AI16" s="2">
        <v>12</v>
      </c>
    </row>
    <row r="17" spans="1:35" x14ac:dyDescent="0.2">
      <c r="AH17" s="2"/>
      <c r="AI17" s="2"/>
    </row>
    <row r="18" spans="1:35" x14ac:dyDescent="0.2">
      <c r="AH18" s="2" t="s">
        <v>12</v>
      </c>
      <c r="AI18" s="2">
        <v>13.1</v>
      </c>
    </row>
    <row r="19" spans="1:35" ht="16" thickBot="1" x14ac:dyDescent="0.25">
      <c r="A19" s="183" t="s">
        <v>114</v>
      </c>
      <c r="B19" s="183"/>
      <c r="C19" s="183"/>
      <c r="D19" s="183"/>
      <c r="E19" s="183"/>
      <c r="F19" s="183"/>
      <c r="G19" s="183"/>
      <c r="H19" s="183"/>
      <c r="I19" s="183"/>
      <c r="J19" s="183"/>
      <c r="K19" s="183"/>
      <c r="L19" s="183"/>
      <c r="M19" s="183"/>
      <c r="N19" s="183"/>
      <c r="O19" s="183"/>
      <c r="P19" s="183"/>
      <c r="Q19" s="183"/>
      <c r="R19" s="183"/>
      <c r="S19" s="183"/>
      <c r="T19" s="183"/>
      <c r="U19" s="183"/>
      <c r="V19" s="183"/>
      <c r="W19" s="183"/>
      <c r="X19" s="183"/>
      <c r="Y19" s="183"/>
      <c r="Z19" s="183"/>
      <c r="AA19" s="183"/>
      <c r="AB19" s="183"/>
      <c r="AC19" s="183"/>
      <c r="AH19" s="2"/>
      <c r="AI19" s="2">
        <v>13.2</v>
      </c>
    </row>
    <row r="20" spans="1:35" ht="16" thickBot="1" x14ac:dyDescent="0.25">
      <c r="A20" s="74" t="s">
        <v>133</v>
      </c>
      <c r="B20" s="67" t="s">
        <v>117</v>
      </c>
      <c r="C20" s="191" t="s">
        <v>118</v>
      </c>
      <c r="D20" s="192"/>
      <c r="E20" s="193"/>
      <c r="F20" s="191" t="s">
        <v>119</v>
      </c>
      <c r="G20" s="192"/>
      <c r="H20" s="193"/>
      <c r="I20" s="191" t="s">
        <v>120</v>
      </c>
      <c r="J20" s="192"/>
      <c r="K20" s="193"/>
      <c r="L20" s="191" t="s">
        <v>123</v>
      </c>
      <c r="M20" s="192"/>
      <c r="N20" s="192"/>
      <c r="O20" s="192"/>
      <c r="P20" s="193"/>
      <c r="Q20" s="191" t="s">
        <v>13</v>
      </c>
      <c r="R20" s="192"/>
      <c r="S20" s="192"/>
      <c r="T20" s="192"/>
      <c r="U20" s="192"/>
      <c r="V20" s="192"/>
      <c r="W20" s="192"/>
      <c r="X20" s="192"/>
      <c r="Y20" s="193"/>
      <c r="Z20" s="191" t="s">
        <v>125</v>
      </c>
      <c r="AA20" s="192"/>
      <c r="AB20" s="193"/>
      <c r="AC20" s="68" t="s">
        <v>19</v>
      </c>
      <c r="AD20" s="78" t="s">
        <v>144</v>
      </c>
      <c r="AH20" s="2"/>
      <c r="AI20" s="2">
        <v>13.3</v>
      </c>
    </row>
    <row r="21" spans="1:35" x14ac:dyDescent="0.2">
      <c r="A21" s="75" t="s">
        <v>134</v>
      </c>
      <c r="B21" t="s">
        <v>135</v>
      </c>
      <c r="C21" s="194" t="s">
        <v>136</v>
      </c>
      <c r="D21" s="195"/>
      <c r="E21" s="196"/>
      <c r="F21" s="194" t="s">
        <v>137</v>
      </c>
      <c r="G21" s="195"/>
      <c r="H21" s="196"/>
      <c r="I21" s="194" t="s">
        <v>138</v>
      </c>
      <c r="J21" s="195"/>
      <c r="K21" s="196"/>
      <c r="L21" s="194" t="s">
        <v>139</v>
      </c>
      <c r="M21" s="195"/>
      <c r="N21" s="195"/>
      <c r="O21" s="195"/>
      <c r="P21" s="196"/>
      <c r="Q21" s="194" t="s">
        <v>140</v>
      </c>
      <c r="R21" s="195"/>
      <c r="S21" s="195"/>
      <c r="T21" s="195"/>
      <c r="U21" s="195"/>
      <c r="V21" s="195"/>
      <c r="W21" s="195"/>
      <c r="X21" s="195"/>
      <c r="Y21" s="196"/>
      <c r="Z21" s="194" t="s">
        <v>141</v>
      </c>
      <c r="AA21" s="195"/>
      <c r="AB21" s="196"/>
      <c r="AC21" s="49" t="s">
        <v>142</v>
      </c>
      <c r="AD21" s="76">
        <v>0.1</v>
      </c>
      <c r="AH21" s="2" t="s">
        <v>13</v>
      </c>
      <c r="AI21" s="2">
        <v>14.1</v>
      </c>
    </row>
    <row r="22" spans="1:35" x14ac:dyDescent="0.2">
      <c r="A22" s="75" t="s">
        <v>143</v>
      </c>
      <c r="B22" t="s">
        <v>135</v>
      </c>
      <c r="C22" s="200" t="s">
        <v>136</v>
      </c>
      <c r="D22" s="183"/>
      <c r="E22" s="201"/>
      <c r="F22" s="200" t="s">
        <v>137</v>
      </c>
      <c r="G22" s="183"/>
      <c r="H22" s="201"/>
      <c r="I22" s="200" t="s">
        <v>138</v>
      </c>
      <c r="J22" s="183"/>
      <c r="K22" s="201"/>
      <c r="L22" s="200" t="s">
        <v>139</v>
      </c>
      <c r="M22" s="183"/>
      <c r="N22" s="183"/>
      <c r="O22" s="183"/>
      <c r="P22" s="201"/>
      <c r="Q22" s="200" t="s">
        <v>140</v>
      </c>
      <c r="R22" s="183"/>
      <c r="S22" s="183"/>
      <c r="T22" s="183"/>
      <c r="U22" s="183"/>
      <c r="V22" s="183"/>
      <c r="W22" s="183"/>
      <c r="X22" s="183"/>
      <c r="Y22" s="201"/>
      <c r="Z22" s="200" t="s">
        <v>141</v>
      </c>
      <c r="AA22" s="183"/>
      <c r="AB22" s="201"/>
      <c r="AC22" s="49" t="s">
        <v>142</v>
      </c>
      <c r="AD22" s="76">
        <v>0.2</v>
      </c>
      <c r="AH22" s="2"/>
      <c r="AI22" s="2">
        <v>14.2</v>
      </c>
    </row>
    <row r="23" spans="1:35" x14ac:dyDescent="0.2">
      <c r="A23" s="75" t="s">
        <v>146</v>
      </c>
      <c r="B23" t="s">
        <v>135</v>
      </c>
      <c r="C23" s="200" t="s">
        <v>136</v>
      </c>
      <c r="D23" s="183"/>
      <c r="E23" s="201"/>
      <c r="F23" s="200" t="s">
        <v>147</v>
      </c>
      <c r="G23" s="183"/>
      <c r="H23" s="201"/>
      <c r="I23" s="200" t="s">
        <v>148</v>
      </c>
      <c r="J23" s="183"/>
      <c r="K23" s="201"/>
      <c r="L23" s="200" t="s">
        <v>149</v>
      </c>
      <c r="M23" s="183"/>
      <c r="N23" s="183"/>
      <c r="O23" s="183"/>
      <c r="P23" s="201"/>
      <c r="Q23" s="200" t="s">
        <v>150</v>
      </c>
      <c r="R23" s="183"/>
      <c r="S23" s="183"/>
      <c r="T23" s="183"/>
      <c r="U23" s="183"/>
      <c r="V23" s="183"/>
      <c r="W23" s="183"/>
      <c r="X23" s="183"/>
      <c r="Y23" s="201"/>
      <c r="Z23" s="200" t="s">
        <v>151</v>
      </c>
      <c r="AA23" s="183"/>
      <c r="AB23" s="201"/>
      <c r="AC23" s="49" t="s">
        <v>152</v>
      </c>
      <c r="AD23" s="76">
        <v>0.1</v>
      </c>
      <c r="AH23" s="2"/>
      <c r="AI23" s="2">
        <v>14.3</v>
      </c>
    </row>
    <row r="24" spans="1:35" x14ac:dyDescent="0.2">
      <c r="A24" s="75" t="s">
        <v>153</v>
      </c>
      <c r="B24" t="s">
        <v>135</v>
      </c>
      <c r="C24" s="200" t="s">
        <v>136</v>
      </c>
      <c r="D24" s="183"/>
      <c r="E24" s="201"/>
      <c r="F24" s="200" t="s">
        <v>154</v>
      </c>
      <c r="G24" s="183"/>
      <c r="H24" s="201"/>
      <c r="I24" s="200" t="s">
        <v>155</v>
      </c>
      <c r="J24" s="183"/>
      <c r="K24" s="201"/>
      <c r="L24" s="200" t="s">
        <v>156</v>
      </c>
      <c r="M24" s="183"/>
      <c r="N24" s="183"/>
      <c r="O24" s="183"/>
      <c r="P24" s="201"/>
      <c r="Q24" s="200" t="s">
        <v>157</v>
      </c>
      <c r="R24" s="183"/>
      <c r="S24" s="183"/>
      <c r="T24" s="183"/>
      <c r="U24" s="183"/>
      <c r="V24" s="183"/>
      <c r="W24" s="183"/>
      <c r="X24" s="183"/>
      <c r="Y24" s="201"/>
      <c r="Z24" s="200" t="s">
        <v>158</v>
      </c>
      <c r="AA24" s="183"/>
      <c r="AB24" s="201"/>
      <c r="AC24" s="49" t="s">
        <v>159</v>
      </c>
      <c r="AD24" s="76">
        <v>0.15</v>
      </c>
      <c r="AH24" s="2" t="s">
        <v>14</v>
      </c>
      <c r="AI24" s="2">
        <v>15.1</v>
      </c>
    </row>
    <row r="25" spans="1:35" ht="16" thickBot="1" x14ac:dyDescent="0.25">
      <c r="A25" s="50" t="s">
        <v>161</v>
      </c>
      <c r="B25" s="53">
        <f>C26</f>
        <v>0.5</v>
      </c>
      <c r="C25" s="202">
        <f>((0.5+0.5+0.5+0.5)+(1+1+1+1))/8</f>
        <v>0.75</v>
      </c>
      <c r="D25" s="182"/>
      <c r="E25" s="203"/>
      <c r="F25" s="202">
        <f>((1+1+1+1)+(1.5+1.5+1.75+2.5))/8</f>
        <v>1.40625</v>
      </c>
      <c r="G25" s="182"/>
      <c r="H25" s="203"/>
      <c r="I25" s="202">
        <f>((1.5+1.5+1.75+2.5)+(2.5+2.5+3.25+3.5))/8</f>
        <v>2.375</v>
      </c>
      <c r="J25" s="182"/>
      <c r="K25" s="203"/>
      <c r="L25" s="202">
        <f>((2.5+2.5+3.25+3.5)+(4+4+4.75+4.5))/8</f>
        <v>3.625</v>
      </c>
      <c r="M25" s="182"/>
      <c r="N25" s="182"/>
      <c r="O25" s="182"/>
      <c r="P25" s="203"/>
      <c r="Q25" s="202">
        <f>((4+4+4.75+4.5)+(6+6+6.25+6))/8</f>
        <v>5.1875</v>
      </c>
      <c r="R25" s="182"/>
      <c r="S25" s="182"/>
      <c r="T25" s="182"/>
      <c r="U25" s="182"/>
      <c r="V25" s="182"/>
      <c r="W25" s="182"/>
      <c r="X25" s="182"/>
      <c r="Y25" s="203"/>
      <c r="Z25" s="202">
        <f>((6+6+6.25+6)+(8.5+8.5+7.75+9))/8</f>
        <v>7.25</v>
      </c>
      <c r="AA25" s="182"/>
      <c r="AB25" s="203"/>
      <c r="AC25" s="79">
        <f>(8.5+8.5+7.75+9)/4</f>
        <v>8.4375</v>
      </c>
      <c r="AD25" s="81">
        <f>AVERAGE(AD21:AD24)</f>
        <v>0.13750000000000001</v>
      </c>
      <c r="AH25" s="2"/>
      <c r="AI25" s="2">
        <v>15.2</v>
      </c>
    </row>
    <row r="26" spans="1:35" ht="16" thickBot="1" x14ac:dyDescent="0.25">
      <c r="A26" s="52" t="s">
        <v>160</v>
      </c>
      <c r="B26" s="73"/>
      <c r="C26" s="52">
        <f>(0.5+0.5+0.5+0.5)/4</f>
        <v>0.5</v>
      </c>
      <c r="D26" s="77"/>
      <c r="E26" s="54">
        <f>F26</f>
        <v>1</v>
      </c>
      <c r="F26" s="52">
        <f>(1+1+1+1)/4</f>
        <v>1</v>
      </c>
      <c r="G26" s="77"/>
      <c r="H26" s="54">
        <f>I26</f>
        <v>1.8125</v>
      </c>
      <c r="I26" s="52">
        <f>(1.5+1.5+1.75+2.5)/4</f>
        <v>1.8125</v>
      </c>
      <c r="J26" s="77"/>
      <c r="K26" s="54">
        <f>L26</f>
        <v>2.9375</v>
      </c>
      <c r="L26" s="52">
        <f>(2.5+2.5+3.25+3.5)/4</f>
        <v>2.9375</v>
      </c>
      <c r="M26" s="77"/>
      <c r="N26" s="77"/>
      <c r="O26" s="77"/>
      <c r="P26" s="54">
        <f>Q26</f>
        <v>4.3125</v>
      </c>
      <c r="Q26" s="52">
        <f>(4+4+4.75+4.5)/4</f>
        <v>4.3125</v>
      </c>
      <c r="R26" s="77"/>
      <c r="S26" s="77"/>
      <c r="T26" s="77"/>
      <c r="U26" s="77"/>
      <c r="V26" s="77"/>
      <c r="W26" s="77"/>
      <c r="X26" s="77"/>
      <c r="Y26" s="54">
        <f>Z26</f>
        <v>6.0625</v>
      </c>
      <c r="Z26" s="52">
        <f>(6+6+6.25+6)/4</f>
        <v>6.0625</v>
      </c>
      <c r="AA26" s="77"/>
      <c r="AB26" s="54">
        <f>AC25</f>
        <v>8.4375</v>
      </c>
      <c r="AC26" s="80">
        <f>(8.5+8.5+7.75+9)/4</f>
        <v>8.4375</v>
      </c>
      <c r="AD26" s="82">
        <f>AVERAGE(AD21:AD24)</f>
        <v>0.13750000000000001</v>
      </c>
      <c r="AH26" s="2"/>
      <c r="AI26" s="2">
        <v>15.3</v>
      </c>
    </row>
    <row r="27" spans="1:35" hidden="1" x14ac:dyDescent="0.2">
      <c r="I27" s="90">
        <f>H32+I32</f>
        <v>2.1874666666666664</v>
      </c>
      <c r="L27" s="90">
        <f>L32+L26</f>
        <v>3.3958333333333335</v>
      </c>
      <c r="Q27" s="90">
        <f>Q32+N32</f>
        <v>4.8957999999999995</v>
      </c>
      <c r="Z27" s="90">
        <f>Z32+W32</f>
        <v>6.8541333333333325</v>
      </c>
      <c r="AH27" s="2" t="s">
        <v>15</v>
      </c>
      <c r="AI27" s="2">
        <v>16.100000000000001</v>
      </c>
    </row>
    <row r="28" spans="1:35" ht="16" thickBot="1" x14ac:dyDescent="0.25">
      <c r="A28" s="183" t="s">
        <v>162</v>
      </c>
      <c r="B28" s="183"/>
      <c r="C28" s="183"/>
      <c r="D28" s="183"/>
      <c r="E28" s="183"/>
      <c r="F28" s="183"/>
      <c r="G28" s="183"/>
      <c r="H28" s="183"/>
      <c r="I28" s="183"/>
      <c r="J28" s="183"/>
      <c r="K28" s="183"/>
      <c r="L28" s="183"/>
      <c r="M28" s="183"/>
      <c r="N28" s="183"/>
      <c r="O28" s="183"/>
      <c r="P28" s="183"/>
      <c r="Q28" s="183"/>
      <c r="R28" s="183"/>
      <c r="S28" s="183"/>
      <c r="T28" s="183"/>
      <c r="U28" s="183"/>
      <c r="V28" s="183"/>
      <c r="W28" s="183"/>
      <c r="X28" s="183"/>
      <c r="Y28" s="183"/>
      <c r="Z28" s="183"/>
      <c r="AA28" s="183"/>
      <c r="AB28" s="183"/>
      <c r="AC28" s="183"/>
      <c r="AH28" s="2"/>
      <c r="AI28" s="2">
        <v>16.2</v>
      </c>
    </row>
    <row r="29" spans="1:35" x14ac:dyDescent="0.2">
      <c r="A29" s="74" t="s">
        <v>126</v>
      </c>
      <c r="B29" s="59" t="s">
        <v>117</v>
      </c>
      <c r="C29" s="207" t="s">
        <v>118</v>
      </c>
      <c r="D29" s="208"/>
      <c r="E29" s="209"/>
      <c r="F29" s="207" t="s">
        <v>119</v>
      </c>
      <c r="G29" s="208"/>
      <c r="H29" s="209"/>
      <c r="I29" s="207" t="s">
        <v>120</v>
      </c>
      <c r="J29" s="208"/>
      <c r="K29" s="209"/>
      <c r="L29" s="207" t="s">
        <v>123</v>
      </c>
      <c r="M29" s="208"/>
      <c r="N29" s="208"/>
      <c r="O29" s="208"/>
      <c r="P29" s="209"/>
      <c r="Q29" s="207" t="s">
        <v>13</v>
      </c>
      <c r="R29" s="208"/>
      <c r="S29" s="208"/>
      <c r="T29" s="208"/>
      <c r="U29" s="208"/>
      <c r="V29" s="208"/>
      <c r="W29" s="208"/>
      <c r="X29" s="208"/>
      <c r="Y29" s="209"/>
      <c r="Z29" s="207" t="s">
        <v>125</v>
      </c>
      <c r="AA29" s="208"/>
      <c r="AB29" s="209"/>
      <c r="AC29" s="55" t="s">
        <v>19</v>
      </c>
      <c r="AH29" s="2"/>
      <c r="AI29" s="2">
        <v>16.3</v>
      </c>
    </row>
    <row r="30" spans="1:35" ht="16" thickBot="1" x14ac:dyDescent="0.25">
      <c r="A30" s="83" t="s">
        <v>170</v>
      </c>
      <c r="B30" s="61" t="s">
        <v>135</v>
      </c>
      <c r="C30" s="204" t="s">
        <v>163</v>
      </c>
      <c r="D30" s="205"/>
      <c r="E30" s="206"/>
      <c r="F30" s="204" t="s">
        <v>164</v>
      </c>
      <c r="G30" s="205"/>
      <c r="H30" s="206"/>
      <c r="I30" s="204" t="s">
        <v>165</v>
      </c>
      <c r="J30" s="205"/>
      <c r="K30" s="206"/>
      <c r="L30" s="204" t="s">
        <v>166</v>
      </c>
      <c r="M30" s="205"/>
      <c r="N30" s="205"/>
      <c r="O30" s="205"/>
      <c r="P30" s="206"/>
      <c r="Q30" s="204" t="s">
        <v>167</v>
      </c>
      <c r="R30" s="205"/>
      <c r="S30" s="205"/>
      <c r="T30" s="205"/>
      <c r="U30" s="205"/>
      <c r="V30" s="205"/>
      <c r="W30" s="205"/>
      <c r="X30" s="205"/>
      <c r="Y30" s="206"/>
      <c r="Z30" s="204" t="s">
        <v>168</v>
      </c>
      <c r="AA30" s="205"/>
      <c r="AB30" s="206"/>
      <c r="AC30" s="64" t="s">
        <v>169</v>
      </c>
      <c r="AH30" s="2"/>
      <c r="AI30" s="2"/>
    </row>
    <row r="31" spans="1:35" x14ac:dyDescent="0.2">
      <c r="A31" s="65" t="s">
        <v>121</v>
      </c>
      <c r="B31" s="60" t="s">
        <v>117</v>
      </c>
      <c r="C31" s="58" t="s">
        <v>1</v>
      </c>
      <c r="D31" s="60" t="s">
        <v>2</v>
      </c>
      <c r="E31" s="57" t="s">
        <v>3</v>
      </c>
      <c r="F31" s="58" t="s">
        <v>4</v>
      </c>
      <c r="G31" s="60" t="s">
        <v>5</v>
      </c>
      <c r="H31" s="57" t="s">
        <v>6</v>
      </c>
      <c r="I31" s="58" t="s">
        <v>7</v>
      </c>
      <c r="J31" s="60" t="s">
        <v>8</v>
      </c>
      <c r="K31" s="60" t="s">
        <v>9</v>
      </c>
      <c r="L31" s="60" t="s">
        <v>10</v>
      </c>
      <c r="M31" s="60" t="s">
        <v>11</v>
      </c>
      <c r="N31" s="198" t="s">
        <v>12</v>
      </c>
      <c r="O31" s="198"/>
      <c r="P31" s="199"/>
      <c r="Q31" s="197" t="s">
        <v>13</v>
      </c>
      <c r="R31" s="198"/>
      <c r="S31" s="199"/>
      <c r="T31" s="197" t="s">
        <v>14</v>
      </c>
      <c r="U31" s="198"/>
      <c r="V31" s="199"/>
      <c r="W31" s="197" t="s">
        <v>15</v>
      </c>
      <c r="X31" s="198"/>
      <c r="Y31" s="199"/>
      <c r="Z31" s="60" t="s">
        <v>16</v>
      </c>
      <c r="AA31" s="60" t="s">
        <v>17</v>
      </c>
      <c r="AB31" s="60" t="s">
        <v>18</v>
      </c>
      <c r="AC31" s="60" t="s">
        <v>124</v>
      </c>
      <c r="AH31" s="2" t="s">
        <v>16</v>
      </c>
      <c r="AI31" s="2">
        <v>17</v>
      </c>
    </row>
    <row r="32" spans="1:35" hidden="1" x14ac:dyDescent="0.2">
      <c r="A32" s="65" t="s">
        <v>172</v>
      </c>
      <c r="B32" s="60"/>
      <c r="C32" s="86">
        <f>(0.5/3)</f>
        <v>0.16666666666666666</v>
      </c>
      <c r="D32" s="87">
        <f>0.6667+C32</f>
        <v>0.83336666666666659</v>
      </c>
      <c r="E32" s="88">
        <f>D32+C32</f>
        <v>1.0000333333333333</v>
      </c>
      <c r="F32" s="84">
        <f>(1.8125-1)/3</f>
        <v>0.27083333333333331</v>
      </c>
      <c r="G32" s="89">
        <f>1.2708+F32</f>
        <v>1.5416333333333332</v>
      </c>
      <c r="H32" s="85">
        <f>G32+F32</f>
        <v>1.8124666666666664</v>
      </c>
      <c r="I32" s="84">
        <f>(2.9375-1.8125)/3</f>
        <v>0.375</v>
      </c>
      <c r="J32" s="89">
        <f>2.1875+I32</f>
        <v>2.5625</v>
      </c>
      <c r="K32" s="89">
        <f>J32+I32</f>
        <v>2.9375</v>
      </c>
      <c r="L32" s="89">
        <f>(4.3125-2.9375)/3</f>
        <v>0.45833333333333331</v>
      </c>
      <c r="M32" s="89">
        <f>3.3958+L32</f>
        <v>3.8541333333333334</v>
      </c>
      <c r="N32" s="210">
        <f>M32+L32</f>
        <v>4.3124666666666664</v>
      </c>
      <c r="O32" s="198"/>
      <c r="P32" s="199"/>
      <c r="Q32" s="58">
        <f>(6.0625-4.3125)/3</f>
        <v>0.58333333333333337</v>
      </c>
      <c r="R32" s="56"/>
      <c r="S32" s="57"/>
      <c r="T32" s="84">
        <f>Q27+Q32</f>
        <v>5.4791333333333325</v>
      </c>
      <c r="U32" s="56"/>
      <c r="V32" s="57"/>
      <c r="W32" s="84">
        <f>T32+Q32</f>
        <v>6.0624666666666656</v>
      </c>
      <c r="X32" s="56"/>
      <c r="Y32" s="57"/>
      <c r="Z32" s="60">
        <f>(8.4375-6.0625)/3</f>
        <v>0.79166666666666663</v>
      </c>
      <c r="AA32" s="89">
        <f>Z27+Z32</f>
        <v>7.6457999999999995</v>
      </c>
      <c r="AB32" s="89">
        <f>AA32+Z32</f>
        <v>8.4374666666666656</v>
      </c>
      <c r="AC32" s="60"/>
      <c r="AH32" s="2"/>
      <c r="AI32" s="2"/>
    </row>
    <row r="33" spans="1:35" x14ac:dyDescent="0.2">
      <c r="A33" s="65" t="s">
        <v>171</v>
      </c>
      <c r="B33" s="60" t="s">
        <v>135</v>
      </c>
      <c r="C33" t="s">
        <v>173</v>
      </c>
      <c r="D33" s="60" t="s">
        <v>174</v>
      </c>
      <c r="E33" s="57" t="s">
        <v>175</v>
      </c>
      <c r="F33" s="58" t="s">
        <v>176</v>
      </c>
      <c r="G33" s="60" t="s">
        <v>177</v>
      </c>
      <c r="H33" s="57" t="s">
        <v>178</v>
      </c>
      <c r="I33" s="58" t="s">
        <v>179</v>
      </c>
      <c r="J33" s="60" t="s">
        <v>180</v>
      </c>
      <c r="K33" s="60" t="s">
        <v>181</v>
      </c>
      <c r="L33" s="60" t="s">
        <v>182</v>
      </c>
      <c r="M33" s="60" t="s">
        <v>183</v>
      </c>
      <c r="N33" s="197" t="s">
        <v>184</v>
      </c>
      <c r="O33" s="198"/>
      <c r="P33" s="199"/>
      <c r="Q33" s="197" t="s">
        <v>185</v>
      </c>
      <c r="R33" s="198"/>
      <c r="S33" s="199"/>
      <c r="T33" s="197" t="s">
        <v>186</v>
      </c>
      <c r="U33" s="198"/>
      <c r="V33" s="199"/>
      <c r="W33" s="197" t="s">
        <v>187</v>
      </c>
      <c r="X33" s="198"/>
      <c r="Y33" s="199"/>
      <c r="Z33" s="60" t="s">
        <v>188</v>
      </c>
      <c r="AA33" s="60" t="s">
        <v>189</v>
      </c>
      <c r="AB33" s="60" t="s">
        <v>191</v>
      </c>
      <c r="AC33" s="60" t="s">
        <v>190</v>
      </c>
      <c r="AH33" s="2"/>
      <c r="AI33" s="2"/>
    </row>
    <row r="34" spans="1:35" ht="16" thickBot="1" x14ac:dyDescent="0.25">
      <c r="A34" s="66" t="s">
        <v>122</v>
      </c>
      <c r="B34" s="61">
        <v>1</v>
      </c>
      <c r="C34" s="62">
        <v>2</v>
      </c>
      <c r="D34" s="61">
        <v>3</v>
      </c>
      <c r="E34" s="64">
        <v>4</v>
      </c>
      <c r="F34" s="62">
        <v>5</v>
      </c>
      <c r="G34" s="61">
        <v>6</v>
      </c>
      <c r="H34" s="64">
        <v>7</v>
      </c>
      <c r="I34" s="62">
        <v>8</v>
      </c>
      <c r="J34" s="61">
        <v>9</v>
      </c>
      <c r="K34" s="61">
        <v>10</v>
      </c>
      <c r="L34" s="61">
        <v>11</v>
      </c>
      <c r="M34" s="61">
        <v>12</v>
      </c>
      <c r="N34" s="63">
        <v>13.1</v>
      </c>
      <c r="O34" s="63">
        <v>13.2</v>
      </c>
      <c r="P34" s="64">
        <v>13.3</v>
      </c>
      <c r="Q34" s="62">
        <v>14.1</v>
      </c>
      <c r="R34" s="63">
        <v>14.2</v>
      </c>
      <c r="S34" s="64">
        <v>14.3</v>
      </c>
      <c r="T34" s="62">
        <v>15.1</v>
      </c>
      <c r="U34" s="63">
        <v>15.2</v>
      </c>
      <c r="V34" s="64">
        <v>15.3</v>
      </c>
      <c r="W34" s="62">
        <v>16.100000000000001</v>
      </c>
      <c r="X34" s="63">
        <v>16.2</v>
      </c>
      <c r="Y34" s="64">
        <v>16.3</v>
      </c>
      <c r="Z34" s="61">
        <v>17</v>
      </c>
      <c r="AA34" s="61">
        <v>18</v>
      </c>
      <c r="AB34" s="61">
        <v>19</v>
      </c>
      <c r="AC34" s="61">
        <v>20</v>
      </c>
      <c r="AH34" s="2" t="s">
        <v>17</v>
      </c>
      <c r="AI34" s="2">
        <v>18</v>
      </c>
    </row>
    <row r="35" spans="1:35" hidden="1" x14ac:dyDescent="0.2">
      <c r="A35" s="65" t="s">
        <v>172</v>
      </c>
      <c r="N35">
        <f>(4.3125-3.8541)/3</f>
        <v>0.15280000000000005</v>
      </c>
      <c r="O35">
        <f>N38+N35</f>
        <v>4.1597</v>
      </c>
      <c r="P35">
        <f>O35+N35</f>
        <v>4.3125</v>
      </c>
      <c r="Q35" s="90">
        <f>(4.8958-4.3125)/3</f>
        <v>0.19443333333333346</v>
      </c>
      <c r="R35" s="90">
        <f>Q38+Q35</f>
        <v>4.7013666666666669</v>
      </c>
      <c r="S35" s="90">
        <f>R35+Q35</f>
        <v>4.8958000000000004</v>
      </c>
      <c r="T35" s="90">
        <f>(5.4791-4.8958)/3</f>
        <v>0.19443333333333315</v>
      </c>
      <c r="U35" s="90">
        <f>T38+T35</f>
        <v>5.2846666666666673</v>
      </c>
      <c r="V35" s="90">
        <f>U35+T35</f>
        <v>5.4791000000000007</v>
      </c>
      <c r="W35" s="90">
        <f>(6.0625-5.4791)/3</f>
        <v>0.1944666666666667</v>
      </c>
      <c r="X35" s="90">
        <f>W38+W35</f>
        <v>5.8680333333333348</v>
      </c>
      <c r="Y35" s="90">
        <f>X35+W35</f>
        <v>6.0625000000000018</v>
      </c>
      <c r="AH35" s="2" t="s">
        <v>18</v>
      </c>
      <c r="AI35" s="2">
        <v>19</v>
      </c>
    </row>
    <row r="36" spans="1:35" s="92" customFormat="1" x14ac:dyDescent="0.2">
      <c r="A36" s="91" t="s">
        <v>192</v>
      </c>
      <c r="B36" s="92" t="str">
        <f t="shared" ref="B36:M36" si="0">B33</f>
        <v>&lt;0.50x</v>
      </c>
      <c r="C36" s="92" t="str">
        <f t="shared" si="0"/>
        <v>0.50x - 0.6667x</v>
      </c>
      <c r="D36" s="92" t="str">
        <f t="shared" si="0"/>
        <v>0.6667x - 0.8334x</v>
      </c>
      <c r="E36" s="92" t="str">
        <f t="shared" si="0"/>
        <v>0.8334x - 1.00x</v>
      </c>
      <c r="F36" s="92" t="str">
        <f t="shared" si="0"/>
        <v>1.00x - 1.2708x</v>
      </c>
      <c r="G36" s="92" t="str">
        <f t="shared" si="0"/>
        <v>1.2708x - 1.5416x</v>
      </c>
      <c r="H36" s="92" t="str">
        <f t="shared" si="0"/>
        <v>1.5416x - 1.8125x</v>
      </c>
      <c r="I36" s="92" t="str">
        <f t="shared" si="0"/>
        <v>1.8125x - 2.1875x</v>
      </c>
      <c r="J36" s="92" t="str">
        <f t="shared" si="0"/>
        <v>2.1875x - 2.5625x</v>
      </c>
      <c r="K36" s="92" t="str">
        <f t="shared" si="0"/>
        <v>2.5626x - 2.9375x</v>
      </c>
      <c r="L36" s="92" t="str">
        <f t="shared" si="0"/>
        <v>2.9375x - 3.3958x</v>
      </c>
      <c r="M36" s="92" t="str">
        <f t="shared" si="0"/>
        <v>3.3958x - 3.8541x</v>
      </c>
      <c r="N36" s="92" t="s">
        <v>193</v>
      </c>
      <c r="O36" s="92" t="s">
        <v>194</v>
      </c>
      <c r="P36" s="92" t="s">
        <v>195</v>
      </c>
      <c r="Q36" s="92" t="s">
        <v>196</v>
      </c>
      <c r="R36" s="92" t="s">
        <v>197</v>
      </c>
      <c r="S36" s="92" t="s">
        <v>198</v>
      </c>
      <c r="T36" s="92" t="s">
        <v>199</v>
      </c>
      <c r="U36" s="92" t="s">
        <v>200</v>
      </c>
      <c r="V36" s="92" t="s">
        <v>201</v>
      </c>
      <c r="W36" s="92" t="s">
        <v>202</v>
      </c>
      <c r="X36" s="92" t="s">
        <v>203</v>
      </c>
      <c r="Y36" s="92" t="s">
        <v>204</v>
      </c>
      <c r="Z36" s="92" t="str">
        <f>Z33</f>
        <v>6.0625x - 6.8541x</v>
      </c>
      <c r="AA36" s="92" t="str">
        <f>AA33</f>
        <v>6.8541x - 7.6458x</v>
      </c>
      <c r="AB36" s="92" t="str">
        <f>AB33</f>
        <v>7.6458x - 8.4375x</v>
      </c>
      <c r="AC36" s="92" t="str">
        <f>AC33</f>
        <v>&gt;8.4375x</v>
      </c>
      <c r="AH36" s="93" t="s">
        <v>19</v>
      </c>
      <c r="AI36" s="93">
        <v>20</v>
      </c>
    </row>
    <row r="37" spans="1:35" hidden="1" x14ac:dyDescent="0.2">
      <c r="N37">
        <v>3.8540999999999999</v>
      </c>
    </row>
    <row r="38" spans="1:35" hidden="1" x14ac:dyDescent="0.2">
      <c r="N38">
        <f>N37+N35</f>
        <v>4.0068999999999999</v>
      </c>
      <c r="Q38" s="90">
        <f>P35+Q35</f>
        <v>4.5069333333333335</v>
      </c>
      <c r="T38" s="90">
        <f>T35+S35</f>
        <v>5.0902333333333338</v>
      </c>
      <c r="W38" s="90">
        <f>V35+W35</f>
        <v>5.6735666666666678</v>
      </c>
    </row>
    <row r="44" spans="1:35" ht="16" thickBot="1" x14ac:dyDescent="0.25">
      <c r="A44" s="183" t="s">
        <v>205</v>
      </c>
      <c r="B44" s="183"/>
      <c r="C44" s="183"/>
      <c r="D44" s="183"/>
      <c r="E44" s="183"/>
      <c r="F44" s="183"/>
      <c r="G44" s="183"/>
      <c r="H44" s="183"/>
      <c r="I44" s="183"/>
      <c r="J44" s="183"/>
      <c r="K44" s="183"/>
      <c r="L44" s="183"/>
      <c r="M44" s="183"/>
      <c r="N44" s="183"/>
      <c r="O44" s="183"/>
      <c r="P44" s="183"/>
      <c r="Q44" s="183"/>
      <c r="R44" s="183"/>
      <c r="S44" s="183"/>
      <c r="T44" s="183"/>
      <c r="U44" s="183"/>
      <c r="V44" s="183"/>
      <c r="W44" s="183"/>
      <c r="X44" s="183"/>
      <c r="Y44" s="183"/>
      <c r="Z44" s="183"/>
      <c r="AA44" s="183"/>
      <c r="AB44" s="183"/>
      <c r="AC44" s="183"/>
    </row>
    <row r="45" spans="1:35" ht="16" thickBot="1" x14ac:dyDescent="0.25">
      <c r="A45" s="74" t="s">
        <v>133</v>
      </c>
      <c r="B45" s="67" t="s">
        <v>117</v>
      </c>
      <c r="C45" s="191" t="s">
        <v>118</v>
      </c>
      <c r="D45" s="192"/>
      <c r="E45" s="193"/>
      <c r="F45" s="191" t="s">
        <v>119</v>
      </c>
      <c r="G45" s="192"/>
      <c r="H45" s="193"/>
      <c r="I45" s="191" t="s">
        <v>120</v>
      </c>
      <c r="J45" s="192"/>
      <c r="K45" s="193"/>
      <c r="L45" s="191" t="s">
        <v>123</v>
      </c>
      <c r="M45" s="192"/>
      <c r="N45" s="192"/>
      <c r="O45" s="192"/>
      <c r="P45" s="193"/>
      <c r="Q45" s="191" t="s">
        <v>13</v>
      </c>
      <c r="R45" s="192"/>
      <c r="S45" s="192"/>
      <c r="T45" s="192"/>
      <c r="U45" s="192"/>
      <c r="V45" s="192"/>
      <c r="W45" s="192"/>
      <c r="X45" s="192"/>
      <c r="Y45" s="193"/>
      <c r="Z45" s="191" t="s">
        <v>125</v>
      </c>
      <c r="AA45" s="192"/>
      <c r="AB45" s="193"/>
      <c r="AC45" s="68" t="s">
        <v>19</v>
      </c>
      <c r="AD45" s="78" t="s">
        <v>144</v>
      </c>
    </row>
    <row r="46" spans="1:35" x14ac:dyDescent="0.2">
      <c r="A46" s="75" t="s">
        <v>134</v>
      </c>
      <c r="B46" t="s">
        <v>206</v>
      </c>
      <c r="C46" s="194" t="s">
        <v>207</v>
      </c>
      <c r="D46" s="195"/>
      <c r="E46" s="196"/>
      <c r="F46" s="194" t="s">
        <v>208</v>
      </c>
      <c r="G46" s="195"/>
      <c r="H46" s="196"/>
      <c r="I46" s="194" t="s">
        <v>209</v>
      </c>
      <c r="J46" s="195"/>
      <c r="K46" s="196"/>
      <c r="L46" s="194" t="s">
        <v>210</v>
      </c>
      <c r="M46" s="195"/>
      <c r="N46" s="195"/>
      <c r="O46" s="195"/>
      <c r="P46" s="196"/>
      <c r="Q46" s="194" t="s">
        <v>211</v>
      </c>
      <c r="R46" s="195"/>
      <c r="S46" s="195"/>
      <c r="T46" s="195"/>
      <c r="U46" s="195"/>
      <c r="V46" s="195"/>
      <c r="W46" s="195"/>
      <c r="X46" s="195"/>
      <c r="Y46" s="196"/>
      <c r="Z46" s="194" t="s">
        <v>212</v>
      </c>
      <c r="AA46" s="195"/>
      <c r="AB46" s="196"/>
      <c r="AC46" s="49" t="s">
        <v>213</v>
      </c>
      <c r="AD46" s="76">
        <v>0.1</v>
      </c>
    </row>
    <row r="47" spans="1:35" x14ac:dyDescent="0.2">
      <c r="A47" s="75" t="s">
        <v>143</v>
      </c>
      <c r="B47" t="s">
        <v>214</v>
      </c>
      <c r="C47" s="200" t="s">
        <v>215</v>
      </c>
      <c r="D47" s="183"/>
      <c r="E47" s="201"/>
      <c r="F47" s="200" t="s">
        <v>216</v>
      </c>
      <c r="G47" s="183"/>
      <c r="H47" s="201"/>
      <c r="I47" s="200" t="s">
        <v>217</v>
      </c>
      <c r="J47" s="183"/>
      <c r="K47" s="201"/>
      <c r="L47" s="200" t="s">
        <v>218</v>
      </c>
      <c r="M47" s="183"/>
      <c r="N47" s="183"/>
      <c r="O47" s="183"/>
      <c r="P47" s="201"/>
      <c r="Q47" s="200" t="s">
        <v>219</v>
      </c>
      <c r="R47" s="183"/>
      <c r="S47" s="183"/>
      <c r="T47" s="183"/>
      <c r="U47" s="183"/>
      <c r="V47" s="183"/>
      <c r="W47" s="183"/>
      <c r="X47" s="183"/>
      <c r="Y47" s="201"/>
      <c r="Z47" s="200" t="s">
        <v>220</v>
      </c>
      <c r="AA47" s="183"/>
      <c r="AB47" s="201"/>
      <c r="AC47" s="49" t="s">
        <v>213</v>
      </c>
      <c r="AD47" s="76">
        <v>0.15</v>
      </c>
    </row>
    <row r="48" spans="1:35" x14ac:dyDescent="0.2">
      <c r="A48" s="75" t="s">
        <v>146</v>
      </c>
      <c r="B48" t="s">
        <v>221</v>
      </c>
      <c r="C48" s="200" t="s">
        <v>222</v>
      </c>
      <c r="D48" s="183"/>
      <c r="E48" s="201"/>
      <c r="F48" s="200" t="s">
        <v>223</v>
      </c>
      <c r="G48" s="183"/>
      <c r="H48" s="201"/>
      <c r="I48" s="200" t="s">
        <v>209</v>
      </c>
      <c r="J48" s="183"/>
      <c r="K48" s="201"/>
      <c r="L48" s="200" t="s">
        <v>210</v>
      </c>
      <c r="M48" s="183"/>
      <c r="N48" s="183"/>
      <c r="O48" s="183"/>
      <c r="P48" s="201"/>
      <c r="Q48" s="200" t="s">
        <v>224</v>
      </c>
      <c r="R48" s="183"/>
      <c r="S48" s="183"/>
      <c r="T48" s="183"/>
      <c r="U48" s="183"/>
      <c r="V48" s="183"/>
      <c r="W48" s="183"/>
      <c r="X48" s="183"/>
      <c r="Y48" s="201"/>
      <c r="Z48" s="200" t="s">
        <v>225</v>
      </c>
      <c r="AA48" s="183"/>
      <c r="AB48" s="201"/>
      <c r="AC48" s="49" t="s">
        <v>226</v>
      </c>
      <c r="AD48" s="76">
        <v>0.1</v>
      </c>
    </row>
    <row r="49" spans="1:30" x14ac:dyDescent="0.2">
      <c r="A49" s="75" t="s">
        <v>153</v>
      </c>
      <c r="B49" t="s">
        <v>221</v>
      </c>
      <c r="C49" s="200" t="s">
        <v>222</v>
      </c>
      <c r="D49" s="183"/>
      <c r="E49" s="201"/>
      <c r="F49" s="200" t="s">
        <v>227</v>
      </c>
      <c r="G49" s="183"/>
      <c r="H49" s="201"/>
      <c r="I49" s="200" t="s">
        <v>228</v>
      </c>
      <c r="J49" s="183"/>
      <c r="K49" s="201"/>
      <c r="L49" s="200" t="s">
        <v>229</v>
      </c>
      <c r="M49" s="183"/>
      <c r="N49" s="183"/>
      <c r="O49" s="183"/>
      <c r="P49" s="201"/>
      <c r="Q49" s="200" t="s">
        <v>220</v>
      </c>
      <c r="R49" s="183"/>
      <c r="S49" s="183"/>
      <c r="T49" s="183"/>
      <c r="U49" s="183"/>
      <c r="V49" s="183"/>
      <c r="W49" s="183"/>
      <c r="X49" s="183"/>
      <c r="Y49" s="201"/>
      <c r="Z49" s="200" t="s">
        <v>230</v>
      </c>
      <c r="AA49" s="183"/>
      <c r="AB49" s="201"/>
      <c r="AC49" s="49" t="s">
        <v>135</v>
      </c>
      <c r="AD49" s="76">
        <v>0.1</v>
      </c>
    </row>
    <row r="50" spans="1:30" ht="16" thickBot="1" x14ac:dyDescent="0.25">
      <c r="A50" s="50" t="s">
        <v>161</v>
      </c>
      <c r="B50" s="94">
        <f>(30+35+20+20)/4</f>
        <v>26.25</v>
      </c>
      <c r="C50" s="211">
        <f>((30+35+20+20)+(20+25+15+15))/8</f>
        <v>22.5</v>
      </c>
      <c r="D50" s="212"/>
      <c r="E50" s="213"/>
      <c r="F50" s="214">
        <f>((20+25+15+15)+(10+15+10+10))/8</f>
        <v>15</v>
      </c>
      <c r="G50" s="215"/>
      <c r="H50" s="216"/>
      <c r="I50" s="214">
        <f>((10+10+10+15)+(7+10+7+5))/8</f>
        <v>9.25</v>
      </c>
      <c r="J50" s="215"/>
      <c r="K50" s="216"/>
      <c r="L50" s="214">
        <f>((7+10+7+5)+(4+6+4+2.5))/8</f>
        <v>5.6875</v>
      </c>
      <c r="M50" s="215"/>
      <c r="N50" s="215"/>
      <c r="O50" s="215"/>
      <c r="P50" s="216"/>
      <c r="Q50" s="214">
        <f>((4+6+4+2.5)+(2+2.5+1.5+1))/8</f>
        <v>2.9375</v>
      </c>
      <c r="R50" s="215"/>
      <c r="S50" s="215"/>
      <c r="T50" s="215"/>
      <c r="U50" s="215"/>
      <c r="V50" s="215"/>
      <c r="W50" s="215"/>
      <c r="X50" s="215"/>
      <c r="Y50" s="216"/>
      <c r="Z50" s="214">
        <f>((2+2.5+1.5+1)+(1+1+0.75+0.5))/8</f>
        <v>1.28125</v>
      </c>
      <c r="AA50" s="215"/>
      <c r="AB50" s="216"/>
      <c r="AC50" s="97">
        <f>(1+1+0.75+0.5)/4</f>
        <v>0.8125</v>
      </c>
      <c r="AD50" s="81">
        <f>AVERAGE(AD46:AD49)</f>
        <v>0.11249999999999999</v>
      </c>
    </row>
    <row r="51" spans="1:30" ht="16" thickBot="1" x14ac:dyDescent="0.25">
      <c r="A51" s="52" t="s">
        <v>160</v>
      </c>
      <c r="B51" s="73"/>
      <c r="C51" s="95">
        <f>(30+35+20+20)/4</f>
        <v>26.25</v>
      </c>
      <c r="D51" s="77"/>
      <c r="E51" s="96">
        <f>F51</f>
        <v>18.75</v>
      </c>
      <c r="F51" s="95">
        <f>(20+25+15+15)/4</f>
        <v>18.75</v>
      </c>
      <c r="G51" s="77"/>
      <c r="H51" s="96">
        <f>I51</f>
        <v>11.25</v>
      </c>
      <c r="I51" s="95">
        <f>(10+15+10+10)/4</f>
        <v>11.25</v>
      </c>
      <c r="J51" s="77"/>
      <c r="K51" s="96">
        <f>L51</f>
        <v>7.25</v>
      </c>
      <c r="L51" s="95">
        <f>(7+7+10+5)/4</f>
        <v>7.25</v>
      </c>
      <c r="M51" s="77"/>
      <c r="N51" s="77"/>
      <c r="O51" s="77"/>
      <c r="P51" s="96">
        <f>Q51</f>
        <v>4.125</v>
      </c>
      <c r="Q51" s="95">
        <f>(4+6+4+2.5)/4</f>
        <v>4.125</v>
      </c>
      <c r="R51" s="77"/>
      <c r="S51" s="77"/>
      <c r="T51" s="77"/>
      <c r="U51" s="77"/>
      <c r="V51" s="77"/>
      <c r="W51" s="77"/>
      <c r="X51" s="77"/>
      <c r="Y51" s="96">
        <f>Z51</f>
        <v>1.75</v>
      </c>
      <c r="Z51" s="95">
        <f>(2+2.5+1.5+1)/4</f>
        <v>1.75</v>
      </c>
      <c r="AA51" s="77"/>
      <c r="AB51" s="96">
        <f>AC50</f>
        <v>0.8125</v>
      </c>
      <c r="AC51" s="80">
        <f>(8.5+8.5+7.75+9)/4</f>
        <v>8.4375</v>
      </c>
      <c r="AD51" s="82">
        <f>AVERAGE(AD46:AD49)</f>
        <v>0.11249999999999999</v>
      </c>
    </row>
    <row r="52" spans="1:30" x14ac:dyDescent="0.2">
      <c r="C52" s="90">
        <f>26.25+C57</f>
        <v>23.75</v>
      </c>
      <c r="F52" s="90">
        <f>E57+F57</f>
        <v>16.25</v>
      </c>
      <c r="I52" s="90">
        <f>(11.25+I57)</f>
        <v>9.9166666666666661</v>
      </c>
      <c r="L52" s="90">
        <f>(7.25+L57)</f>
        <v>6.208333333333333</v>
      </c>
      <c r="R52">
        <f>(1.75-4.125)/3</f>
        <v>-0.79166666666666663</v>
      </c>
      <c r="Z52">
        <f>1.75+Z57</f>
        <v>1.4375</v>
      </c>
    </row>
    <row r="53" spans="1:30" ht="16" thickBot="1" x14ac:dyDescent="0.25">
      <c r="A53" s="183" t="s">
        <v>162</v>
      </c>
      <c r="B53" s="183"/>
      <c r="C53" s="183"/>
      <c r="D53" s="183"/>
      <c r="E53" s="183"/>
      <c r="F53" s="183"/>
      <c r="G53" s="183"/>
      <c r="H53" s="183"/>
      <c r="I53" s="183"/>
      <c r="J53" s="183"/>
      <c r="K53" s="183"/>
      <c r="L53" s="183"/>
      <c r="M53" s="183"/>
      <c r="N53" s="183"/>
      <c r="O53" s="183"/>
      <c r="P53" s="183"/>
      <c r="Q53" s="183"/>
      <c r="R53" s="183"/>
      <c r="S53" s="183"/>
      <c r="T53" s="183"/>
      <c r="U53" s="183"/>
      <c r="V53" s="183"/>
      <c r="W53" s="183"/>
      <c r="X53" s="183"/>
      <c r="Y53" s="183"/>
      <c r="Z53" s="183"/>
      <c r="AA53" s="183"/>
      <c r="AB53" s="183"/>
      <c r="AC53" s="183"/>
    </row>
    <row r="54" spans="1:30" x14ac:dyDescent="0.2">
      <c r="A54" s="74" t="s">
        <v>126</v>
      </c>
      <c r="B54" s="59" t="s">
        <v>117</v>
      </c>
      <c r="C54" s="207" t="s">
        <v>118</v>
      </c>
      <c r="D54" s="208"/>
      <c r="E54" s="209"/>
      <c r="F54" s="207" t="s">
        <v>119</v>
      </c>
      <c r="G54" s="208"/>
      <c r="H54" s="209"/>
      <c r="I54" s="207" t="s">
        <v>120</v>
      </c>
      <c r="J54" s="208"/>
      <c r="K54" s="209"/>
      <c r="L54" s="207" t="s">
        <v>123</v>
      </c>
      <c r="M54" s="208"/>
      <c r="N54" s="208"/>
      <c r="O54" s="208"/>
      <c r="P54" s="209"/>
      <c r="Q54" s="207" t="s">
        <v>13</v>
      </c>
      <c r="R54" s="208"/>
      <c r="S54" s="208"/>
      <c r="T54" s="208"/>
      <c r="U54" s="208"/>
      <c r="V54" s="208"/>
      <c r="W54" s="208"/>
      <c r="X54" s="208"/>
      <c r="Y54" s="209"/>
      <c r="Z54" s="207" t="s">
        <v>125</v>
      </c>
      <c r="AA54" s="208"/>
      <c r="AB54" s="209"/>
      <c r="AC54" s="55" t="s">
        <v>19</v>
      </c>
    </row>
    <row r="55" spans="1:30" ht="16" thickBot="1" x14ac:dyDescent="0.25">
      <c r="A55" s="83" t="s">
        <v>170</v>
      </c>
      <c r="B55" s="61" t="s">
        <v>231</v>
      </c>
      <c r="C55" s="204" t="s">
        <v>232</v>
      </c>
      <c r="D55" s="205"/>
      <c r="E55" s="206"/>
      <c r="F55" s="204" t="s">
        <v>233</v>
      </c>
      <c r="G55" s="205"/>
      <c r="H55" s="206"/>
      <c r="I55" s="204" t="s">
        <v>234</v>
      </c>
      <c r="J55" s="205"/>
      <c r="K55" s="206"/>
      <c r="L55" s="204" t="s">
        <v>235</v>
      </c>
      <c r="M55" s="205"/>
      <c r="N55" s="205"/>
      <c r="O55" s="205"/>
      <c r="P55" s="206"/>
      <c r="Q55" s="204" t="s">
        <v>236</v>
      </c>
      <c r="R55" s="205"/>
      <c r="S55" s="205"/>
      <c r="T55" s="205"/>
      <c r="U55" s="205"/>
      <c r="V55" s="205"/>
      <c r="W55" s="205"/>
      <c r="X55" s="205"/>
      <c r="Y55" s="206"/>
      <c r="Z55" s="204" t="s">
        <v>237</v>
      </c>
      <c r="AA55" s="205"/>
      <c r="AB55" s="206"/>
      <c r="AC55" s="64" t="s">
        <v>238</v>
      </c>
    </row>
    <row r="56" spans="1:30" x14ac:dyDescent="0.2">
      <c r="A56" s="65" t="s">
        <v>121</v>
      </c>
      <c r="B56" s="60" t="s">
        <v>117</v>
      </c>
      <c r="C56" s="58" t="s">
        <v>1</v>
      </c>
      <c r="D56" s="60" t="s">
        <v>2</v>
      </c>
      <c r="E56" s="57" t="s">
        <v>3</v>
      </c>
      <c r="F56" s="58" t="s">
        <v>4</v>
      </c>
      <c r="G56" s="60" t="s">
        <v>5</v>
      </c>
      <c r="H56" s="57" t="s">
        <v>6</v>
      </c>
      <c r="I56" s="58" t="s">
        <v>7</v>
      </c>
      <c r="J56" s="60" t="s">
        <v>8</v>
      </c>
      <c r="K56" s="60" t="s">
        <v>9</v>
      </c>
      <c r="L56" s="60" t="s">
        <v>10</v>
      </c>
      <c r="M56" s="60" t="s">
        <v>11</v>
      </c>
      <c r="N56" s="198" t="s">
        <v>12</v>
      </c>
      <c r="O56" s="198"/>
      <c r="P56" s="199"/>
      <c r="Q56" s="197" t="s">
        <v>13</v>
      </c>
      <c r="R56" s="198"/>
      <c r="S56" s="199"/>
      <c r="T56" s="197" t="s">
        <v>14</v>
      </c>
      <c r="U56" s="198"/>
      <c r="V56" s="199"/>
      <c r="W56" s="197" t="s">
        <v>15</v>
      </c>
      <c r="X56" s="198"/>
      <c r="Y56" s="199"/>
      <c r="Z56" s="60" t="s">
        <v>16</v>
      </c>
      <c r="AA56" s="60" t="s">
        <v>17</v>
      </c>
      <c r="AB56" s="60" t="s">
        <v>18</v>
      </c>
      <c r="AC56" s="60" t="s">
        <v>124</v>
      </c>
    </row>
    <row r="57" spans="1:30" x14ac:dyDescent="0.2">
      <c r="A57" s="65" t="s">
        <v>172</v>
      </c>
      <c r="B57" s="60"/>
      <c r="C57" s="86">
        <f>(18.75-26.25)/3</f>
        <v>-2.5</v>
      </c>
      <c r="D57" s="87">
        <f>C52+C57</f>
        <v>21.25</v>
      </c>
      <c r="E57" s="88">
        <f>D57+C57</f>
        <v>18.75</v>
      </c>
      <c r="F57" s="84">
        <f>(11.25-18.75)/3</f>
        <v>-2.5</v>
      </c>
      <c r="G57" s="89">
        <f>16.25+F57</f>
        <v>13.75</v>
      </c>
      <c r="H57" s="85">
        <f>G57+F57</f>
        <v>11.25</v>
      </c>
      <c r="I57" s="84">
        <f>(7.25-11.25)/3</f>
        <v>-1.3333333333333333</v>
      </c>
      <c r="J57" s="89">
        <f>I52+I57</f>
        <v>8.5833333333333321</v>
      </c>
      <c r="K57" s="89">
        <f>J57+I57</f>
        <v>7.2499999999999991</v>
      </c>
      <c r="L57" s="89">
        <f>(4.125-7.25)/3</f>
        <v>-1.0416666666666667</v>
      </c>
      <c r="M57" s="89">
        <f>L52+L57</f>
        <v>5.1666666666666661</v>
      </c>
      <c r="N57" s="210">
        <f>M57+L57</f>
        <v>4.1249999999999991</v>
      </c>
      <c r="O57" s="198"/>
      <c r="P57" s="199"/>
      <c r="Q57" s="197">
        <f>R52+4.125</f>
        <v>3.3333333333333335</v>
      </c>
      <c r="R57" s="198"/>
      <c r="S57" s="199"/>
      <c r="T57" s="84">
        <f>3.33333333+R52</f>
        <v>2.5416666633333334</v>
      </c>
      <c r="U57" s="56"/>
      <c r="V57" s="57"/>
      <c r="W57" s="84">
        <f>2.5417+R52</f>
        <v>1.7500333333333336</v>
      </c>
      <c r="X57" s="56"/>
      <c r="Y57" s="57"/>
      <c r="Z57" s="60">
        <f>(0.8125-1.75)/3</f>
        <v>-0.3125</v>
      </c>
      <c r="AA57" s="89">
        <f>Z52+Z57</f>
        <v>1.125</v>
      </c>
      <c r="AB57" s="89">
        <f>AA57+Z57</f>
        <v>0.8125</v>
      </c>
      <c r="AC57" s="60"/>
    </row>
    <row r="58" spans="1:30" x14ac:dyDescent="0.2">
      <c r="A58" s="65" t="s">
        <v>171</v>
      </c>
      <c r="B58" s="60" t="str">
        <f>B55</f>
        <v>&gt;26.2500x</v>
      </c>
      <c r="C58" s="90" t="s">
        <v>239</v>
      </c>
      <c r="D58" s="89" t="s">
        <v>240</v>
      </c>
      <c r="E58" s="85" t="s">
        <v>241</v>
      </c>
      <c r="F58" s="84" t="s">
        <v>242</v>
      </c>
      <c r="G58" s="84" t="s">
        <v>243</v>
      </c>
      <c r="H58" s="84" t="s">
        <v>244</v>
      </c>
      <c r="I58" s="58" t="s">
        <v>245</v>
      </c>
      <c r="J58" s="60" t="s">
        <v>246</v>
      </c>
      <c r="K58" s="60" t="s">
        <v>247</v>
      </c>
      <c r="L58" s="60" t="s">
        <v>248</v>
      </c>
      <c r="M58" s="60" t="s">
        <v>249</v>
      </c>
      <c r="N58" s="197" t="s">
        <v>250</v>
      </c>
      <c r="O58" s="198"/>
      <c r="P58" s="199"/>
      <c r="Q58" s="197" t="s">
        <v>254</v>
      </c>
      <c r="R58" s="198"/>
      <c r="S58" s="199"/>
      <c r="T58" s="197" t="s">
        <v>255</v>
      </c>
      <c r="U58" s="198"/>
      <c r="V58" s="199"/>
      <c r="W58" s="197" t="s">
        <v>256</v>
      </c>
      <c r="X58" s="198"/>
      <c r="Y58" s="199"/>
      <c r="Z58" s="60" t="s">
        <v>257</v>
      </c>
      <c r="AA58" s="60" t="s">
        <v>258</v>
      </c>
      <c r="AB58" s="60" t="s">
        <v>259</v>
      </c>
      <c r="AC58" s="60" t="s">
        <v>269</v>
      </c>
    </row>
    <row r="59" spans="1:30" ht="16" thickBot="1" x14ac:dyDescent="0.25">
      <c r="A59" s="66" t="s">
        <v>122</v>
      </c>
      <c r="B59" s="61">
        <v>1</v>
      </c>
      <c r="C59" s="62">
        <v>2</v>
      </c>
      <c r="D59" s="61">
        <v>3</v>
      </c>
      <c r="E59" s="64">
        <v>4</v>
      </c>
      <c r="F59" s="62">
        <v>5</v>
      </c>
      <c r="G59" s="61">
        <v>6</v>
      </c>
      <c r="H59" s="64">
        <v>7</v>
      </c>
      <c r="I59" s="62">
        <v>8</v>
      </c>
      <c r="J59" s="61">
        <v>9</v>
      </c>
      <c r="K59" s="61">
        <v>10</v>
      </c>
      <c r="L59" s="61">
        <v>11</v>
      </c>
      <c r="M59" s="61">
        <v>12</v>
      </c>
      <c r="N59" s="63">
        <v>13.1</v>
      </c>
      <c r="O59" s="63">
        <v>13.2</v>
      </c>
      <c r="P59" s="64">
        <v>13.3</v>
      </c>
      <c r="Q59" s="62">
        <v>14.1</v>
      </c>
      <c r="R59" s="63">
        <v>14.2</v>
      </c>
      <c r="S59" s="64">
        <v>14.3</v>
      </c>
      <c r="T59" s="62">
        <v>15.1</v>
      </c>
      <c r="U59" s="63">
        <v>15.2</v>
      </c>
      <c r="V59" s="64">
        <v>15.3</v>
      </c>
      <c r="W59" s="62">
        <v>16.100000000000001</v>
      </c>
      <c r="X59" s="63">
        <v>16.2</v>
      </c>
      <c r="Y59" s="64">
        <v>16.3</v>
      </c>
      <c r="Z59" s="61">
        <v>17</v>
      </c>
      <c r="AA59" s="61">
        <v>18</v>
      </c>
      <c r="AB59" s="61">
        <v>19</v>
      </c>
      <c r="AC59" s="61">
        <v>20</v>
      </c>
    </row>
    <row r="60" spans="1:30" hidden="1" x14ac:dyDescent="0.2">
      <c r="A60" s="65" t="s">
        <v>172</v>
      </c>
      <c r="N60" s="90">
        <f>(4.125-5.1667)/3</f>
        <v>-0.34723333333333323</v>
      </c>
      <c r="O60" s="90">
        <f>N63+N60</f>
        <v>4.4721999999999991</v>
      </c>
      <c r="P60" s="90">
        <f>O60+N60</f>
        <v>4.1249666666666656</v>
      </c>
      <c r="Q60" s="90">
        <f>(3.3333-4.125)/3</f>
        <v>-0.26390000000000002</v>
      </c>
      <c r="R60" s="90">
        <f>Q63+Q60</f>
        <v>3.5971666666666655</v>
      </c>
      <c r="S60" s="90">
        <f>R60+Q60</f>
        <v>3.3332666666666655</v>
      </c>
      <c r="T60" s="90">
        <f>(2.5417-3.3333)/3</f>
        <v>-0.26386666666666664</v>
      </c>
      <c r="U60" s="90">
        <f>T63+T60</f>
        <v>2.8055333333333325</v>
      </c>
      <c r="V60" s="90">
        <f>U60+T60</f>
        <v>2.5416666666666661</v>
      </c>
      <c r="W60" s="90">
        <f>(1.75-2.5417)/3</f>
        <v>-0.26390000000000002</v>
      </c>
      <c r="X60" s="90">
        <f>W60+W63</f>
        <v>2.013866666666666</v>
      </c>
      <c r="Y60" s="90">
        <f>X60+W60</f>
        <v>1.749966666666666</v>
      </c>
    </row>
    <row r="61" spans="1:30" x14ac:dyDescent="0.2">
      <c r="A61" s="91" t="s">
        <v>192</v>
      </c>
      <c r="B61" s="92" t="str">
        <f t="shared" ref="B61:M61" si="1">B58</f>
        <v>&gt;26.2500x</v>
      </c>
      <c r="C61" s="98" t="str">
        <f t="shared" si="1"/>
        <v>26.2500x - 23.7500x</v>
      </c>
      <c r="D61" s="92" t="str">
        <f t="shared" si="1"/>
        <v>23.7500x - 21.2500x</v>
      </c>
      <c r="E61" s="92" t="str">
        <f t="shared" si="1"/>
        <v>21.2500x - 18.7500x</v>
      </c>
      <c r="F61" s="92" t="str">
        <f t="shared" si="1"/>
        <v>18.7500x - 16.2500x</v>
      </c>
      <c r="G61" s="92" t="str">
        <f t="shared" si="1"/>
        <v>16.2500x - 13.7500x</v>
      </c>
      <c r="H61" s="92" t="str">
        <f t="shared" si="1"/>
        <v>13.7500x - 11.2500x</v>
      </c>
      <c r="I61" s="92" t="str">
        <f t="shared" si="1"/>
        <v>11.2500x - 9.9167x</v>
      </c>
      <c r="J61" s="92" t="str">
        <f t="shared" si="1"/>
        <v>9.9167x - 8.5833x</v>
      </c>
      <c r="K61" s="92" t="str">
        <f t="shared" si="1"/>
        <v>8.5833x - 7.2500x</v>
      </c>
      <c r="L61" s="92" t="str">
        <f t="shared" si="1"/>
        <v>7.2500x - 6.2083x</v>
      </c>
      <c r="M61" s="92" t="str">
        <f t="shared" si="1"/>
        <v>6.2083x - 5.1667x</v>
      </c>
      <c r="N61" s="92" t="s">
        <v>251</v>
      </c>
      <c r="O61" s="92" t="s">
        <v>252</v>
      </c>
      <c r="P61" s="92" t="s">
        <v>253</v>
      </c>
      <c r="Q61" s="92" t="s">
        <v>260</v>
      </c>
      <c r="R61" s="92" t="s">
        <v>261</v>
      </c>
      <c r="S61" s="92" t="s">
        <v>262</v>
      </c>
      <c r="T61" s="92" t="s">
        <v>263</v>
      </c>
      <c r="U61" s="92" t="s">
        <v>264</v>
      </c>
      <c r="V61" s="92" t="s">
        <v>265</v>
      </c>
      <c r="W61" s="92" t="s">
        <v>266</v>
      </c>
      <c r="X61" s="92" t="s">
        <v>267</v>
      </c>
      <c r="Y61" s="92" t="s">
        <v>268</v>
      </c>
      <c r="Z61" s="92" t="str">
        <f>Z58</f>
        <v>1.7500x - 1.4375x</v>
      </c>
      <c r="AA61" s="92" t="str">
        <f>AA58</f>
        <v>1.4375x - 1.1250x</v>
      </c>
      <c r="AB61" s="92" t="str">
        <f>AB58</f>
        <v>1.1250x - 0.8125x</v>
      </c>
      <c r="AC61" s="92" t="str">
        <f>AC58</f>
        <v>&lt;0.8125x</v>
      </c>
    </row>
    <row r="63" spans="1:30" x14ac:dyDescent="0.2">
      <c r="N63" s="90">
        <f>M57+N60</f>
        <v>4.8194333333333326</v>
      </c>
      <c r="Q63" s="90">
        <f>P60+Q60</f>
        <v>3.8610666666666655</v>
      </c>
      <c r="T63" s="90">
        <f>T60+S60</f>
        <v>3.069399999999999</v>
      </c>
      <c r="W63" s="90">
        <f>W60+V60</f>
        <v>2.2777666666666661</v>
      </c>
    </row>
    <row r="68" spans="1:30" ht="16" thickBot="1" x14ac:dyDescent="0.25">
      <c r="A68" s="183" t="s">
        <v>289</v>
      </c>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c r="AA68" s="183"/>
      <c r="AB68" s="183"/>
      <c r="AC68" s="183"/>
    </row>
    <row r="69" spans="1:30" ht="16" thickBot="1" x14ac:dyDescent="0.25">
      <c r="A69" s="74" t="s">
        <v>133</v>
      </c>
      <c r="B69" s="67" t="s">
        <v>117</v>
      </c>
      <c r="C69" s="191" t="s">
        <v>118</v>
      </c>
      <c r="D69" s="192"/>
      <c r="E69" s="193"/>
      <c r="F69" s="191" t="s">
        <v>119</v>
      </c>
      <c r="G69" s="192"/>
      <c r="H69" s="193"/>
      <c r="I69" s="191" t="s">
        <v>120</v>
      </c>
      <c r="J69" s="192"/>
      <c r="K69" s="193"/>
      <c r="L69" s="191" t="s">
        <v>123</v>
      </c>
      <c r="M69" s="192"/>
      <c r="N69" s="192"/>
      <c r="O69" s="192"/>
      <c r="P69" s="193"/>
      <c r="Q69" s="191" t="s">
        <v>13</v>
      </c>
      <c r="R69" s="192"/>
      <c r="S69" s="192"/>
      <c r="T69" s="192"/>
      <c r="U69" s="192"/>
      <c r="V69" s="192"/>
      <c r="W69" s="192"/>
      <c r="X69" s="192"/>
      <c r="Y69" s="193"/>
      <c r="Z69" s="191" t="s">
        <v>125</v>
      </c>
      <c r="AA69" s="192"/>
      <c r="AB69" s="193"/>
      <c r="AC69" s="68" t="s">
        <v>19</v>
      </c>
      <c r="AD69" s="78" t="s">
        <v>144</v>
      </c>
    </row>
    <row r="70" spans="1:30" x14ac:dyDescent="0.2">
      <c r="A70" s="99" t="s">
        <v>134</v>
      </c>
      <c r="B70" s="73"/>
      <c r="C70" s="218"/>
      <c r="D70" s="219"/>
      <c r="E70" s="220"/>
      <c r="F70" s="218"/>
      <c r="G70" s="219"/>
      <c r="H70" s="220"/>
      <c r="I70" s="218"/>
      <c r="J70" s="219"/>
      <c r="K70" s="220"/>
      <c r="L70" s="218"/>
      <c r="M70" s="219"/>
      <c r="N70" s="219"/>
      <c r="O70" s="219"/>
      <c r="P70" s="220"/>
      <c r="Q70" s="218"/>
      <c r="R70" s="219"/>
      <c r="S70" s="219"/>
      <c r="T70" s="219"/>
      <c r="U70" s="219"/>
      <c r="V70" s="219"/>
      <c r="W70" s="219"/>
      <c r="X70" s="219"/>
      <c r="Y70" s="220"/>
      <c r="Z70" s="218"/>
      <c r="AA70" s="219"/>
      <c r="AB70" s="220"/>
      <c r="AC70" s="100"/>
      <c r="AD70" s="101"/>
    </row>
    <row r="71" spans="1:30" x14ac:dyDescent="0.2">
      <c r="A71" s="75" t="s">
        <v>143</v>
      </c>
      <c r="B71" t="s">
        <v>286</v>
      </c>
      <c r="C71" s="200" t="s">
        <v>287</v>
      </c>
      <c r="D71" s="183"/>
      <c r="E71" s="201"/>
      <c r="F71" s="200" t="s">
        <v>279</v>
      </c>
      <c r="G71" s="183"/>
      <c r="H71" s="201"/>
      <c r="I71" s="200" t="s">
        <v>288</v>
      </c>
      <c r="J71" s="183"/>
      <c r="K71" s="201"/>
      <c r="L71" s="200" t="s">
        <v>273</v>
      </c>
      <c r="M71" s="183"/>
      <c r="N71" s="183"/>
      <c r="O71" s="183"/>
      <c r="P71" s="201"/>
      <c r="Q71" s="217" t="s">
        <v>291</v>
      </c>
      <c r="R71" s="183"/>
      <c r="S71" s="183"/>
      <c r="T71" s="183"/>
      <c r="U71" s="183"/>
      <c r="V71" s="183"/>
      <c r="W71" s="183"/>
      <c r="X71" s="183"/>
      <c r="Y71" s="201"/>
      <c r="Z71" s="200" t="s">
        <v>292</v>
      </c>
      <c r="AA71" s="183"/>
      <c r="AB71" s="201"/>
      <c r="AC71" s="49" t="s">
        <v>293</v>
      </c>
      <c r="AD71" s="76">
        <v>0.1</v>
      </c>
    </row>
    <row r="72" spans="1:30" x14ac:dyDescent="0.2">
      <c r="A72" s="75" t="s">
        <v>146</v>
      </c>
      <c r="B72" t="s">
        <v>278</v>
      </c>
      <c r="C72" s="200" t="s">
        <v>279</v>
      </c>
      <c r="D72" s="183"/>
      <c r="E72" s="201"/>
      <c r="F72" s="200" t="s">
        <v>280</v>
      </c>
      <c r="G72" s="183"/>
      <c r="H72" s="201"/>
      <c r="I72" s="200" t="s">
        <v>281</v>
      </c>
      <c r="J72" s="183"/>
      <c r="K72" s="201"/>
      <c r="L72" s="200" t="s">
        <v>282</v>
      </c>
      <c r="M72" s="183"/>
      <c r="N72" s="183"/>
      <c r="O72" s="183"/>
      <c r="P72" s="201"/>
      <c r="Q72" s="200" t="s">
        <v>283</v>
      </c>
      <c r="R72" s="183"/>
      <c r="S72" s="183"/>
      <c r="T72" s="183"/>
      <c r="U72" s="183"/>
      <c r="V72" s="183"/>
      <c r="W72" s="183"/>
      <c r="X72" s="183"/>
      <c r="Y72" s="201"/>
      <c r="Z72" s="200" t="s">
        <v>284</v>
      </c>
      <c r="AA72" s="183"/>
      <c r="AB72" s="201"/>
      <c r="AC72" s="49" t="s">
        <v>285</v>
      </c>
      <c r="AD72" s="76">
        <v>0.05</v>
      </c>
    </row>
    <row r="73" spans="1:30" x14ac:dyDescent="0.2">
      <c r="A73" s="75" t="s">
        <v>153</v>
      </c>
      <c r="B73" t="s">
        <v>270</v>
      </c>
      <c r="C73" s="200" t="s">
        <v>271</v>
      </c>
      <c r="D73" s="183"/>
      <c r="E73" s="201"/>
      <c r="F73" s="200" t="s">
        <v>272</v>
      </c>
      <c r="G73" s="183"/>
      <c r="H73" s="201"/>
      <c r="I73" s="200" t="s">
        <v>273</v>
      </c>
      <c r="J73" s="183"/>
      <c r="K73" s="201"/>
      <c r="L73" s="200" t="s">
        <v>274</v>
      </c>
      <c r="M73" s="183"/>
      <c r="N73" s="183"/>
      <c r="O73" s="183"/>
      <c r="P73" s="201"/>
      <c r="Q73" s="200" t="s">
        <v>275</v>
      </c>
      <c r="R73" s="183"/>
      <c r="S73" s="183"/>
      <c r="T73" s="183"/>
      <c r="U73" s="183"/>
      <c r="V73" s="183"/>
      <c r="W73" s="183"/>
      <c r="X73" s="183"/>
      <c r="Y73" s="201"/>
      <c r="Z73" s="200" t="s">
        <v>276</v>
      </c>
      <c r="AA73" s="183"/>
      <c r="AB73" s="201"/>
      <c r="AC73" s="49" t="s">
        <v>277</v>
      </c>
      <c r="AD73" s="76">
        <v>0.1</v>
      </c>
    </row>
    <row r="74" spans="1:30" ht="16" thickBot="1" x14ac:dyDescent="0.25">
      <c r="A74" s="50" t="s">
        <v>161</v>
      </c>
      <c r="B74" s="102">
        <f>(0.6+0.35+0.4)/3</f>
        <v>0.45</v>
      </c>
      <c r="C74" s="221">
        <f>((0.6+0.35+0.4)+(0.35+0.25+0.3))/6</f>
        <v>0.375</v>
      </c>
      <c r="D74" s="222"/>
      <c r="E74" s="223"/>
      <c r="F74" s="221">
        <f>(0.35+0.25+0.3+0.25+0.17+0.2)/6</f>
        <v>0.2533333333333333</v>
      </c>
      <c r="G74" s="222"/>
      <c r="H74" s="223"/>
      <c r="I74" s="221">
        <f>(0.25+0.17+0.2+0.2+0.12+0.15)/6</f>
        <v>0.18166666666666667</v>
      </c>
      <c r="J74" s="222"/>
      <c r="K74" s="223"/>
      <c r="L74" s="221">
        <f>(0.2+0.12+0.15+0.15+0.07+0.1)/6</f>
        <v>0.13166666666666665</v>
      </c>
      <c r="M74" s="222"/>
      <c r="N74" s="222"/>
      <c r="O74" s="222"/>
      <c r="P74" s="223"/>
      <c r="Q74" s="221">
        <f>(0.15+0.07+0.1+0.1+0.025+0.05)/6</f>
        <v>8.2500000000000004E-2</v>
      </c>
      <c r="R74" s="222"/>
      <c r="S74" s="222"/>
      <c r="T74" s="222"/>
      <c r="U74" s="222"/>
      <c r="V74" s="222"/>
      <c r="W74" s="222"/>
      <c r="X74" s="222"/>
      <c r="Y74" s="223"/>
      <c r="Z74" s="221">
        <f>(0.1+0.025+0.05+0.05+0+0.025)/6</f>
        <v>4.1666666666666664E-2</v>
      </c>
      <c r="AA74" s="222"/>
      <c r="AB74" s="223"/>
      <c r="AC74" s="103">
        <f>(0.05+0.025)/3</f>
        <v>2.5000000000000005E-2</v>
      </c>
      <c r="AD74" s="81">
        <f>AVERAGE(AD70:AD73)</f>
        <v>8.3333333333333329E-2</v>
      </c>
    </row>
    <row r="75" spans="1:30" ht="16" thickBot="1" x14ac:dyDescent="0.25">
      <c r="A75" s="52" t="s">
        <v>160</v>
      </c>
      <c r="B75" s="73"/>
      <c r="C75" s="106">
        <f>(0.6+0.35+0.4)/3</f>
        <v>0.45</v>
      </c>
      <c r="D75" s="77"/>
      <c r="E75" s="107">
        <f>F75</f>
        <v>0.3</v>
      </c>
      <c r="F75" s="106">
        <f>(0.35+0.25+0.3)/3</f>
        <v>0.3</v>
      </c>
      <c r="G75" s="77"/>
      <c r="H75" s="107">
        <f>I75</f>
        <v>0.20666666666666669</v>
      </c>
      <c r="I75" s="106">
        <f>(0.25+0.17+0.2)/3</f>
        <v>0.20666666666666669</v>
      </c>
      <c r="J75" s="77"/>
      <c r="K75" s="107">
        <f>L75</f>
        <v>0.15666666666666665</v>
      </c>
      <c r="L75" s="106">
        <f>(0.2+0.12+0.15)/3</f>
        <v>0.15666666666666665</v>
      </c>
      <c r="M75" s="77"/>
      <c r="N75" s="77"/>
      <c r="O75" s="77"/>
      <c r="P75" s="107">
        <f>Q75</f>
        <v>0.10666666666666667</v>
      </c>
      <c r="Q75" s="106">
        <f>(0.15+0.07+0.1)/3</f>
        <v>0.10666666666666667</v>
      </c>
      <c r="R75" s="77"/>
      <c r="S75" s="77"/>
      <c r="T75" s="77"/>
      <c r="U75" s="77"/>
      <c r="V75" s="77"/>
      <c r="W75" s="77"/>
      <c r="X75" s="77"/>
      <c r="Y75" s="107">
        <f>Z75</f>
        <v>5.8333333333333327E-2</v>
      </c>
      <c r="Z75" s="106">
        <f>(0.1+0.025+0.05)/3</f>
        <v>5.8333333333333327E-2</v>
      </c>
      <c r="AA75" s="77"/>
      <c r="AB75" s="107">
        <f>AC74</f>
        <v>2.5000000000000005E-2</v>
      </c>
      <c r="AC75" s="80">
        <f>(8.5+8.5+7.75+9)/4</f>
        <v>8.4375</v>
      </c>
      <c r="AD75" s="82">
        <f>AVERAGE(AD70:AD73)</f>
        <v>8.3333333333333329E-2</v>
      </c>
    </row>
    <row r="76" spans="1:30" x14ac:dyDescent="0.2">
      <c r="C76" s="90"/>
      <c r="F76" s="90">
        <f>30+F81</f>
        <v>26.8889</v>
      </c>
      <c r="I76" s="90">
        <f>H81+I81</f>
        <v>19.000033333333334</v>
      </c>
      <c r="L76" s="90">
        <f>L81+K81</f>
        <v>14.000033333333338</v>
      </c>
      <c r="Q76" s="90">
        <f>N81+Q81</f>
        <v>9.0555666666666728</v>
      </c>
      <c r="Z76" s="90">
        <f>Z81+W81</f>
        <v>4.7222000000000062</v>
      </c>
    </row>
    <row r="77" spans="1:30" ht="16" thickBot="1" x14ac:dyDescent="0.25">
      <c r="A77" s="183" t="s">
        <v>162</v>
      </c>
      <c r="B77" s="183"/>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c r="AA77" s="183"/>
      <c r="AB77" s="183"/>
      <c r="AC77" s="183"/>
    </row>
    <row r="78" spans="1:30" x14ac:dyDescent="0.2">
      <c r="A78" s="74" t="s">
        <v>126</v>
      </c>
      <c r="B78" s="59" t="s">
        <v>117</v>
      </c>
      <c r="C78" s="207" t="s">
        <v>118</v>
      </c>
      <c r="D78" s="208"/>
      <c r="E78" s="209"/>
      <c r="F78" s="207" t="s">
        <v>119</v>
      </c>
      <c r="G78" s="208"/>
      <c r="H78" s="209"/>
      <c r="I78" s="207" t="s">
        <v>120</v>
      </c>
      <c r="J78" s="208"/>
      <c r="K78" s="209"/>
      <c r="L78" s="207" t="s">
        <v>123</v>
      </c>
      <c r="M78" s="208"/>
      <c r="N78" s="208"/>
      <c r="O78" s="208"/>
      <c r="P78" s="209"/>
      <c r="Q78" s="207" t="s">
        <v>13</v>
      </c>
      <c r="R78" s="208"/>
      <c r="S78" s="208"/>
      <c r="T78" s="208"/>
      <c r="U78" s="208"/>
      <c r="V78" s="208"/>
      <c r="W78" s="208"/>
      <c r="X78" s="208"/>
      <c r="Y78" s="209"/>
      <c r="Z78" s="207" t="s">
        <v>125</v>
      </c>
      <c r="AA78" s="208"/>
      <c r="AB78" s="209"/>
      <c r="AC78" s="55" t="s">
        <v>19</v>
      </c>
    </row>
    <row r="79" spans="1:30" ht="16" thickBot="1" x14ac:dyDescent="0.25">
      <c r="A79" s="83" t="s">
        <v>170</v>
      </c>
      <c r="B79" s="104" t="s">
        <v>294</v>
      </c>
      <c r="C79" s="204" t="s">
        <v>295</v>
      </c>
      <c r="D79" s="205"/>
      <c r="E79" s="206"/>
      <c r="F79" s="204" t="s">
        <v>296</v>
      </c>
      <c r="G79" s="205"/>
      <c r="H79" s="206"/>
      <c r="I79" s="204" t="s">
        <v>297</v>
      </c>
      <c r="J79" s="205"/>
      <c r="K79" s="206"/>
      <c r="L79" s="204" t="s">
        <v>298</v>
      </c>
      <c r="M79" s="205"/>
      <c r="N79" s="205"/>
      <c r="O79" s="205"/>
      <c r="P79" s="206"/>
      <c r="Q79" s="204" t="s">
        <v>299</v>
      </c>
      <c r="R79" s="205"/>
      <c r="S79" s="205"/>
      <c r="T79" s="205"/>
      <c r="U79" s="205"/>
      <c r="V79" s="205"/>
      <c r="W79" s="205"/>
      <c r="X79" s="205"/>
      <c r="Y79" s="206"/>
      <c r="Z79" s="204" t="s">
        <v>300</v>
      </c>
      <c r="AA79" s="205"/>
      <c r="AB79" s="206"/>
      <c r="AC79" s="64" t="s">
        <v>301</v>
      </c>
    </row>
    <row r="80" spans="1:30" x14ac:dyDescent="0.2">
      <c r="A80" s="65" t="s">
        <v>121</v>
      </c>
      <c r="B80" s="60" t="s">
        <v>117</v>
      </c>
      <c r="C80" s="58" t="s">
        <v>1</v>
      </c>
      <c r="D80" s="60" t="s">
        <v>2</v>
      </c>
      <c r="E80" s="57" t="s">
        <v>3</v>
      </c>
      <c r="F80" s="58" t="s">
        <v>4</v>
      </c>
      <c r="G80" s="60" t="s">
        <v>5</v>
      </c>
      <c r="H80" s="57" t="s">
        <v>6</v>
      </c>
      <c r="I80" s="58" t="s">
        <v>7</v>
      </c>
      <c r="J80" s="60" t="s">
        <v>8</v>
      </c>
      <c r="K80" s="60" t="s">
        <v>9</v>
      </c>
      <c r="L80" s="60" t="s">
        <v>10</v>
      </c>
      <c r="M80" s="60" t="s">
        <v>11</v>
      </c>
      <c r="N80" s="198" t="s">
        <v>12</v>
      </c>
      <c r="O80" s="198"/>
      <c r="P80" s="199"/>
      <c r="Q80" s="197" t="s">
        <v>13</v>
      </c>
      <c r="R80" s="198"/>
      <c r="S80" s="199"/>
      <c r="T80" s="197" t="s">
        <v>14</v>
      </c>
      <c r="U80" s="198"/>
      <c r="V80" s="199"/>
      <c r="W80" s="197" t="s">
        <v>15</v>
      </c>
      <c r="X80" s="198"/>
      <c r="Y80" s="199"/>
      <c r="Z80" s="60" t="s">
        <v>16</v>
      </c>
      <c r="AA80" s="60" t="s">
        <v>17</v>
      </c>
      <c r="AB80" s="60" t="s">
        <v>18</v>
      </c>
      <c r="AC80" s="60" t="s">
        <v>124</v>
      </c>
    </row>
    <row r="81" spans="1:30" x14ac:dyDescent="0.2">
      <c r="A81" s="65" t="s">
        <v>172</v>
      </c>
      <c r="B81" s="60"/>
      <c r="C81" s="90"/>
      <c r="D81" s="87"/>
      <c r="E81" s="88"/>
      <c r="F81" s="84">
        <f>(20.6667-30)/3</f>
        <v>-3.1111000000000004</v>
      </c>
      <c r="G81" s="89">
        <f>F76+F81</f>
        <v>23.777799999999999</v>
      </c>
      <c r="H81" s="85">
        <f>G81+F81</f>
        <v>20.666699999999999</v>
      </c>
      <c r="I81" s="84">
        <f>(15.6667-20.6667)/3</f>
        <v>-1.6666666666666661</v>
      </c>
      <c r="J81" s="89">
        <f>I76+I81</f>
        <v>17.33336666666667</v>
      </c>
      <c r="K81" s="89">
        <f>J81+I81</f>
        <v>15.666700000000004</v>
      </c>
      <c r="L81" s="89">
        <f>(10.6667-15.6667)/3</f>
        <v>-1.6666666666666667</v>
      </c>
      <c r="M81" s="89">
        <f>L81+L76</f>
        <v>12.333366666666672</v>
      </c>
      <c r="N81" s="210">
        <f>M81+L81</f>
        <v>10.666700000000006</v>
      </c>
      <c r="O81" s="198"/>
      <c r="P81" s="199"/>
      <c r="Q81" s="197">
        <f>(5.8333-10.6667)/3</f>
        <v>-1.6111333333333333</v>
      </c>
      <c r="R81" s="198"/>
      <c r="S81" s="199"/>
      <c r="T81" s="84">
        <f>Q76+Q81</f>
        <v>7.4444333333333397</v>
      </c>
      <c r="U81" s="56"/>
      <c r="V81" s="57"/>
      <c r="W81" s="84">
        <f>T81+Q81</f>
        <v>5.8333000000000066</v>
      </c>
      <c r="X81" s="56"/>
      <c r="Y81" s="57"/>
      <c r="Z81" s="60">
        <f>(2.5-5.8333)/3</f>
        <v>-1.1111000000000002</v>
      </c>
      <c r="AA81" s="89">
        <f>Z76+Z81</f>
        <v>3.6111000000000057</v>
      </c>
      <c r="AB81" s="89">
        <f>AA81+Z81</f>
        <v>2.5000000000000053</v>
      </c>
      <c r="AC81" s="60"/>
    </row>
    <row r="82" spans="1:30" x14ac:dyDescent="0.2">
      <c r="A82" s="65" t="s">
        <v>171</v>
      </c>
      <c r="B82" s="60" t="s">
        <v>294</v>
      </c>
      <c r="C82" t="s">
        <v>302</v>
      </c>
      <c r="D82" s="89" t="s">
        <v>303</v>
      </c>
      <c r="E82" s="85" t="s">
        <v>304</v>
      </c>
      <c r="F82" s="84" t="s">
        <v>305</v>
      </c>
      <c r="G82" s="84" t="s">
        <v>306</v>
      </c>
      <c r="H82" s="84" t="s">
        <v>307</v>
      </c>
      <c r="I82" s="58" t="s">
        <v>308</v>
      </c>
      <c r="J82" s="60" t="s">
        <v>309</v>
      </c>
      <c r="K82" s="60" t="s">
        <v>310</v>
      </c>
      <c r="L82" s="60" t="s">
        <v>311</v>
      </c>
      <c r="M82" s="60" t="s">
        <v>312</v>
      </c>
      <c r="N82" s="197" t="s">
        <v>313</v>
      </c>
      <c r="O82" s="198"/>
      <c r="P82" s="199"/>
      <c r="Q82" s="197" t="s">
        <v>314</v>
      </c>
      <c r="R82" s="198"/>
      <c r="S82" s="199"/>
      <c r="T82" s="197" t="s">
        <v>315</v>
      </c>
      <c r="U82" s="198"/>
      <c r="V82" s="199"/>
      <c r="W82" s="197" t="s">
        <v>316</v>
      </c>
      <c r="X82" s="198"/>
      <c r="Y82" s="199"/>
      <c r="Z82" s="60" t="s">
        <v>317</v>
      </c>
      <c r="AA82" s="60" t="s">
        <v>318</v>
      </c>
      <c r="AB82" s="60" t="s">
        <v>319</v>
      </c>
      <c r="AC82" s="60" t="s">
        <v>301</v>
      </c>
    </row>
    <row r="83" spans="1:30" ht="16" thickBot="1" x14ac:dyDescent="0.25">
      <c r="A83" s="66" t="s">
        <v>122</v>
      </c>
      <c r="B83" s="61">
        <v>1</v>
      </c>
      <c r="C83" s="62">
        <v>2</v>
      </c>
      <c r="D83" s="61">
        <v>3</v>
      </c>
      <c r="E83" s="64">
        <v>4</v>
      </c>
      <c r="F83" s="62">
        <v>5</v>
      </c>
      <c r="G83" s="61">
        <v>6</v>
      </c>
      <c r="H83" s="64">
        <v>7</v>
      </c>
      <c r="I83" s="62">
        <v>8</v>
      </c>
      <c r="J83" s="61">
        <v>9</v>
      </c>
      <c r="K83" s="61">
        <v>10</v>
      </c>
      <c r="L83" s="61">
        <v>11</v>
      </c>
      <c r="M83" s="61">
        <v>12</v>
      </c>
      <c r="N83" s="63">
        <v>13.1</v>
      </c>
      <c r="O83" s="63">
        <v>13.2</v>
      </c>
      <c r="P83" s="64">
        <v>13.3</v>
      </c>
      <c r="Q83" s="62">
        <v>14.1</v>
      </c>
      <c r="R83" s="63">
        <v>14.2</v>
      </c>
      <c r="S83" s="64">
        <v>14.3</v>
      </c>
      <c r="T83" s="62">
        <v>15.1</v>
      </c>
      <c r="U83" s="63">
        <v>15.2</v>
      </c>
      <c r="V83" s="64">
        <v>15.3</v>
      </c>
      <c r="W83" s="62">
        <v>16.100000000000001</v>
      </c>
      <c r="X83" s="63">
        <v>16.2</v>
      </c>
      <c r="Y83" s="64">
        <v>16.3</v>
      </c>
      <c r="Z83" s="61">
        <v>17</v>
      </c>
      <c r="AA83" s="61">
        <v>18</v>
      </c>
      <c r="AB83" s="61">
        <v>19</v>
      </c>
      <c r="AC83" s="61">
        <v>20</v>
      </c>
    </row>
    <row r="84" spans="1:30" x14ac:dyDescent="0.2">
      <c r="A84" s="65" t="s">
        <v>172</v>
      </c>
      <c r="N84" s="90">
        <f>(10.6667-12.3334)/3</f>
        <v>-0.55556666666666621</v>
      </c>
      <c r="O84" s="90">
        <f>N84+N87</f>
        <v>11.222233333333341</v>
      </c>
      <c r="P84" s="90">
        <f>+O84+N84</f>
        <v>10.666666666666675</v>
      </c>
      <c r="Q84" s="90">
        <f>(9.0556-10.6667)/3</f>
        <v>-0.53703333333333347</v>
      </c>
      <c r="R84" s="90">
        <f>Q84+Q87</f>
        <v>9.592600000000008</v>
      </c>
      <c r="S84" s="90">
        <f>R84+Q84</f>
        <v>9.0555666666666745</v>
      </c>
      <c r="T84" s="90">
        <f>(7.4444-9.0556)/3</f>
        <v>-0.53706666666666669</v>
      </c>
      <c r="U84" s="90">
        <f>T84+T87</f>
        <v>7.9814333333333414</v>
      </c>
      <c r="V84" s="90">
        <f>U84+T84</f>
        <v>7.4443666666666743</v>
      </c>
      <c r="W84" s="90">
        <f>(5.8333-7.4444)/3</f>
        <v>-0.53703333333333314</v>
      </c>
      <c r="X84" s="90">
        <f>W87+W84</f>
        <v>6.3703000000000074</v>
      </c>
      <c r="Y84" s="90">
        <f>X84+W84</f>
        <v>5.8332666666666739</v>
      </c>
    </row>
    <row r="85" spans="1:30" x14ac:dyDescent="0.2">
      <c r="A85" s="91" t="s">
        <v>192</v>
      </c>
      <c r="B85" s="92" t="str">
        <f t="shared" ref="B85:M85" si="2">B82</f>
        <v>&gt;45%</v>
      </c>
      <c r="C85" s="98" t="str">
        <f t="shared" si="2"/>
        <v>45% - 40%</v>
      </c>
      <c r="D85" s="92" t="str">
        <f t="shared" si="2"/>
        <v>40% -35%</v>
      </c>
      <c r="E85" s="92" t="str">
        <f t="shared" si="2"/>
        <v>35% - 30%</v>
      </c>
      <c r="F85" s="92" t="str">
        <f t="shared" si="2"/>
        <v>30% - 26.8889%</v>
      </c>
      <c r="G85" s="92" t="str">
        <f t="shared" si="2"/>
        <v>26.8889% - 23.7778%</v>
      </c>
      <c r="H85" s="92" t="str">
        <f t="shared" si="2"/>
        <v>23.7778% - 20.6667%</v>
      </c>
      <c r="I85" s="92" t="str">
        <f t="shared" si="2"/>
        <v>20.6667% - 19.0000%</v>
      </c>
      <c r="J85" s="92" t="str">
        <f t="shared" si="2"/>
        <v>19.0000% -17.3334%</v>
      </c>
      <c r="K85" s="92" t="str">
        <f t="shared" si="2"/>
        <v>17.3334% -  15.6667%</v>
      </c>
      <c r="L85" s="92" t="str">
        <f t="shared" si="2"/>
        <v>15.6667% - 14.0000%</v>
      </c>
      <c r="M85" s="92" t="str">
        <f t="shared" si="2"/>
        <v>14.0000% - 12.3334%</v>
      </c>
      <c r="N85" s="92" t="s">
        <v>320</v>
      </c>
      <c r="O85" s="92" t="s">
        <v>321</v>
      </c>
      <c r="P85" s="98" t="s">
        <v>322</v>
      </c>
      <c r="Q85" s="92" t="s">
        <v>323</v>
      </c>
      <c r="R85" s="92" t="s">
        <v>324</v>
      </c>
      <c r="S85" s="92" t="s">
        <v>325</v>
      </c>
      <c r="T85" s="92" t="s">
        <v>326</v>
      </c>
      <c r="U85" s="92" t="s">
        <v>327</v>
      </c>
      <c r="V85" s="92" t="s">
        <v>328</v>
      </c>
      <c r="W85" s="92" t="s">
        <v>329</v>
      </c>
      <c r="X85" s="92" t="s">
        <v>330</v>
      </c>
      <c r="Y85" s="92" t="s">
        <v>331</v>
      </c>
      <c r="Z85" s="92" t="str">
        <f>Z82</f>
        <v>5.8333% - 4.7222%</v>
      </c>
      <c r="AA85" s="92" t="str">
        <f>AA82</f>
        <v>4.7222% - 3.6111%</v>
      </c>
      <c r="AB85" s="92" t="str">
        <f>AB82</f>
        <v xml:space="preserve">3.6111% - 2.5000% </v>
      </c>
      <c r="AC85" s="92" t="str">
        <f>AC82</f>
        <v>&lt;2.5000%</v>
      </c>
    </row>
    <row r="87" spans="1:30" x14ac:dyDescent="0.2">
      <c r="N87" s="90">
        <f>N84+M81</f>
        <v>11.777800000000006</v>
      </c>
      <c r="Q87" s="90">
        <f>Q84+P84</f>
        <v>10.129633333333341</v>
      </c>
      <c r="T87" s="90">
        <f>T84+S84</f>
        <v>8.5185000000000084</v>
      </c>
      <c r="W87" s="90">
        <f>W84+V84</f>
        <v>6.9073333333333409</v>
      </c>
    </row>
    <row r="89" spans="1:30" ht="16" thickBot="1" x14ac:dyDescent="0.25">
      <c r="A89" s="183" t="s">
        <v>410</v>
      </c>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c r="AA89" s="183"/>
      <c r="AB89" s="183"/>
      <c r="AC89" s="183"/>
    </row>
    <row r="90" spans="1:30" ht="16" thickBot="1" x14ac:dyDescent="0.25">
      <c r="A90" s="74" t="s">
        <v>133</v>
      </c>
      <c r="B90" s="67" t="s">
        <v>117</v>
      </c>
      <c r="C90" s="191" t="s">
        <v>118</v>
      </c>
      <c r="D90" s="192"/>
      <c r="E90" s="193"/>
      <c r="F90" s="191" t="s">
        <v>119</v>
      </c>
      <c r="G90" s="192"/>
      <c r="H90" s="193"/>
      <c r="I90" s="191" t="s">
        <v>120</v>
      </c>
      <c r="J90" s="192"/>
      <c r="K90" s="193"/>
      <c r="L90" s="191" t="s">
        <v>123</v>
      </c>
      <c r="M90" s="192"/>
      <c r="N90" s="192"/>
      <c r="O90" s="192"/>
      <c r="P90" s="193"/>
      <c r="Q90" s="191" t="s">
        <v>13</v>
      </c>
      <c r="R90" s="192"/>
      <c r="S90" s="192"/>
      <c r="T90" s="192"/>
      <c r="U90" s="192"/>
      <c r="V90" s="192"/>
      <c r="W90" s="192"/>
      <c r="X90" s="192"/>
      <c r="Y90" s="193"/>
      <c r="Z90" s="191" t="s">
        <v>125</v>
      </c>
      <c r="AA90" s="192"/>
      <c r="AB90" s="193"/>
      <c r="AC90" s="68" t="s">
        <v>19</v>
      </c>
      <c r="AD90" s="78" t="s">
        <v>144</v>
      </c>
    </row>
    <row r="91" spans="1:30" x14ac:dyDescent="0.2">
      <c r="A91" s="99" t="s">
        <v>134</v>
      </c>
      <c r="B91" s="73"/>
      <c r="C91" s="218"/>
      <c r="D91" s="219"/>
      <c r="E91" s="220"/>
      <c r="F91" s="218"/>
      <c r="G91" s="219"/>
      <c r="H91" s="220"/>
      <c r="I91" s="218"/>
      <c r="J91" s="219"/>
      <c r="K91" s="220"/>
      <c r="L91" s="218"/>
      <c r="M91" s="219"/>
      <c r="N91" s="219"/>
      <c r="O91" s="219"/>
      <c r="P91" s="220"/>
      <c r="Q91" s="218"/>
      <c r="R91" s="219"/>
      <c r="S91" s="219"/>
      <c r="T91" s="219"/>
      <c r="U91" s="219"/>
      <c r="V91" s="219"/>
      <c r="W91" s="219"/>
      <c r="X91" s="219"/>
      <c r="Y91" s="220"/>
      <c r="Z91" s="218"/>
      <c r="AA91" s="219"/>
      <c r="AB91" s="220"/>
      <c r="AC91" s="100"/>
      <c r="AD91" s="101"/>
    </row>
    <row r="92" spans="1:30" x14ac:dyDescent="0.2">
      <c r="A92" s="99" t="s">
        <v>143</v>
      </c>
      <c r="B92" s="73"/>
      <c r="C92" s="224"/>
      <c r="D92" s="225"/>
      <c r="E92" s="226"/>
      <c r="F92" s="224"/>
      <c r="G92" s="225"/>
      <c r="H92" s="226"/>
      <c r="I92" s="224"/>
      <c r="J92" s="225"/>
      <c r="K92" s="226"/>
      <c r="L92" s="224"/>
      <c r="M92" s="225"/>
      <c r="N92" s="225"/>
      <c r="O92" s="225"/>
      <c r="P92" s="226"/>
      <c r="Q92" s="227"/>
      <c r="R92" s="225"/>
      <c r="S92" s="225"/>
      <c r="T92" s="225"/>
      <c r="U92" s="225"/>
      <c r="V92" s="225"/>
      <c r="W92" s="225"/>
      <c r="X92" s="225"/>
      <c r="Y92" s="226"/>
      <c r="Z92" s="224"/>
      <c r="AA92" s="225"/>
      <c r="AB92" s="226"/>
      <c r="AC92" s="100"/>
      <c r="AD92" s="101"/>
    </row>
    <row r="93" spans="1:30" x14ac:dyDescent="0.2">
      <c r="A93" s="75" t="s">
        <v>146</v>
      </c>
      <c r="B93" t="s">
        <v>411</v>
      </c>
      <c r="C93" s="200" t="s">
        <v>412</v>
      </c>
      <c r="D93" s="183"/>
      <c r="E93" s="201"/>
      <c r="F93" s="200" t="s">
        <v>273</v>
      </c>
      <c r="G93" s="183"/>
      <c r="H93" s="201"/>
      <c r="I93" s="200" t="s">
        <v>413</v>
      </c>
      <c r="J93" s="183"/>
      <c r="K93" s="201"/>
      <c r="L93" s="200" t="s">
        <v>275</v>
      </c>
      <c r="M93" s="183"/>
      <c r="N93" s="183"/>
      <c r="O93" s="183"/>
      <c r="P93" s="201"/>
      <c r="Q93" s="200" t="s">
        <v>414</v>
      </c>
      <c r="R93" s="183"/>
      <c r="S93" s="183"/>
      <c r="T93" s="183"/>
      <c r="U93" s="183"/>
      <c r="V93" s="183"/>
      <c r="W93" s="183"/>
      <c r="X93" s="183"/>
      <c r="Y93" s="201"/>
      <c r="Z93" s="200" t="s">
        <v>420</v>
      </c>
      <c r="AA93" s="183"/>
      <c r="AB93" s="201"/>
      <c r="AC93" s="49" t="s">
        <v>415</v>
      </c>
      <c r="AD93" s="76">
        <v>0.05</v>
      </c>
    </row>
    <row r="94" spans="1:30" x14ac:dyDescent="0.2">
      <c r="A94" s="99" t="s">
        <v>153</v>
      </c>
      <c r="B94" s="73"/>
      <c r="C94" s="224"/>
      <c r="D94" s="225"/>
      <c r="E94" s="226"/>
      <c r="F94" s="224"/>
      <c r="G94" s="225"/>
      <c r="H94" s="226"/>
      <c r="I94" s="224"/>
      <c r="J94" s="225"/>
      <c r="K94" s="226"/>
      <c r="L94" s="224"/>
      <c r="M94" s="225"/>
      <c r="N94" s="225"/>
      <c r="O94" s="225"/>
      <c r="P94" s="226"/>
      <c r="Q94" s="224"/>
      <c r="R94" s="225"/>
      <c r="S94" s="225"/>
      <c r="T94" s="225"/>
      <c r="U94" s="225"/>
      <c r="V94" s="225"/>
      <c r="W94" s="225"/>
      <c r="X94" s="225"/>
      <c r="Y94" s="226"/>
      <c r="Z94" s="224"/>
      <c r="AA94" s="225"/>
      <c r="AB94" s="226"/>
      <c r="AC94" s="100"/>
      <c r="AD94" s="101"/>
    </row>
    <row r="95" spans="1:30" ht="16" thickBot="1" x14ac:dyDescent="0.25">
      <c r="A95" s="50" t="s">
        <v>161</v>
      </c>
      <c r="B95" s="102" t="s">
        <v>411</v>
      </c>
      <c r="C95" s="221">
        <v>0.22500000000000001</v>
      </c>
      <c r="D95" s="222"/>
      <c r="E95" s="223"/>
      <c r="F95" s="221">
        <v>0.17499999999999999</v>
      </c>
      <c r="G95" s="222"/>
      <c r="H95" s="223"/>
      <c r="I95" s="221">
        <v>0.125</v>
      </c>
      <c r="J95" s="222"/>
      <c r="K95" s="223"/>
      <c r="L95" s="221">
        <v>7.4999999999999997E-2</v>
      </c>
      <c r="M95" s="222"/>
      <c r="N95" s="222"/>
      <c r="O95" s="222"/>
      <c r="P95" s="223"/>
      <c r="Q95" s="221">
        <v>2.5000000000000001E-2</v>
      </c>
      <c r="R95" s="222"/>
      <c r="S95" s="222"/>
      <c r="T95" s="222"/>
      <c r="U95" s="222"/>
      <c r="V95" s="222"/>
      <c r="W95" s="222"/>
      <c r="X95" s="222"/>
      <c r="Y95" s="223"/>
      <c r="Z95" s="221" t="s">
        <v>285</v>
      </c>
      <c r="AA95" s="222"/>
      <c r="AB95" s="223"/>
      <c r="AC95" s="103" t="s">
        <v>285</v>
      </c>
      <c r="AD95" s="81">
        <f>AVERAGE(AD91:AD94)</f>
        <v>0.05</v>
      </c>
    </row>
    <row r="96" spans="1:30" ht="16" thickBot="1" x14ac:dyDescent="0.25">
      <c r="A96" s="52" t="s">
        <v>160</v>
      </c>
      <c r="B96" s="73"/>
      <c r="C96" s="106">
        <v>0.25</v>
      </c>
      <c r="D96" s="77"/>
      <c r="E96" s="107">
        <f>F96</f>
        <v>0.2</v>
      </c>
      <c r="F96" s="106">
        <v>0.2</v>
      </c>
      <c r="G96" s="77"/>
      <c r="H96" s="107">
        <f>I96</f>
        <v>0.15</v>
      </c>
      <c r="I96" s="106">
        <v>0.15</v>
      </c>
      <c r="J96" s="77"/>
      <c r="K96" s="107">
        <f>L96</f>
        <v>0.1</v>
      </c>
      <c r="L96" s="106">
        <v>0.1</v>
      </c>
      <c r="M96" s="77"/>
      <c r="N96" s="77"/>
      <c r="O96" s="77"/>
      <c r="P96" s="107">
        <f>Q96</f>
        <v>0.05</v>
      </c>
      <c r="Q96" s="106">
        <v>0.05</v>
      </c>
      <c r="R96" s="77"/>
      <c r="S96" s="77"/>
      <c r="T96" s="77"/>
      <c r="U96" s="77"/>
      <c r="V96" s="77"/>
      <c r="W96" s="77"/>
      <c r="X96" s="77"/>
      <c r="Y96" s="107" t="str">
        <f>Z96</f>
        <v>&lt;0%</v>
      </c>
      <c r="Z96" s="106" t="s">
        <v>285</v>
      </c>
      <c r="AA96" s="77"/>
      <c r="AB96" s="107" t="str">
        <f>AC95</f>
        <v>&lt;0%</v>
      </c>
      <c r="AC96" s="80">
        <f>(8.5+8.5+7.75+9)/4</f>
        <v>8.4375</v>
      </c>
      <c r="AD96" s="82">
        <f>AVERAGE(AD91:AD94)</f>
        <v>0.05</v>
      </c>
    </row>
    <row r="97" spans="1:29" x14ac:dyDescent="0.2">
      <c r="C97" s="90">
        <v>25</v>
      </c>
      <c r="F97" s="90">
        <f>30+F102</f>
        <v>48.333333333333329</v>
      </c>
      <c r="I97" s="90">
        <f>H102+I102</f>
        <v>28.333333333333321</v>
      </c>
      <c r="L97" s="90">
        <f>L102+K102</f>
        <v>18.333333333333329</v>
      </c>
      <c r="Q97" s="90"/>
      <c r="Z97" s="90" t="e">
        <f>Z102+W102</f>
        <v>#VALUE!</v>
      </c>
    </row>
    <row r="98" spans="1:29" ht="16" thickBot="1" x14ac:dyDescent="0.25">
      <c r="A98" s="183" t="s">
        <v>410</v>
      </c>
      <c r="B98" s="183"/>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c r="AA98" s="183"/>
      <c r="AB98" s="183"/>
      <c r="AC98" s="183"/>
    </row>
    <row r="99" spans="1:29" x14ac:dyDescent="0.2">
      <c r="A99" s="74" t="s">
        <v>126</v>
      </c>
      <c r="B99" s="59" t="s">
        <v>117</v>
      </c>
      <c r="C99" s="207" t="s">
        <v>118</v>
      </c>
      <c r="D99" s="208"/>
      <c r="E99" s="209"/>
      <c r="F99" s="207" t="s">
        <v>119</v>
      </c>
      <c r="G99" s="208"/>
      <c r="H99" s="209"/>
      <c r="I99" s="207" t="s">
        <v>120</v>
      </c>
      <c r="J99" s="208"/>
      <c r="K99" s="209"/>
      <c r="L99" s="207" t="s">
        <v>123</v>
      </c>
      <c r="M99" s="208"/>
      <c r="N99" s="208"/>
      <c r="O99" s="208"/>
      <c r="P99" s="209"/>
      <c r="Q99" s="207" t="s">
        <v>13</v>
      </c>
      <c r="R99" s="208"/>
      <c r="S99" s="208"/>
      <c r="T99" s="208"/>
      <c r="U99" s="208"/>
      <c r="V99" s="208"/>
      <c r="W99" s="208"/>
      <c r="X99" s="208"/>
      <c r="Y99" s="209"/>
      <c r="Z99" s="207" t="s">
        <v>125</v>
      </c>
      <c r="AA99" s="208"/>
      <c r="AB99" s="209"/>
      <c r="AC99" s="55" t="s">
        <v>19</v>
      </c>
    </row>
    <row r="100" spans="1:29" ht="16" thickBot="1" x14ac:dyDescent="0.25">
      <c r="A100" s="83" t="s">
        <v>170</v>
      </c>
      <c r="B100" s="104" t="s">
        <v>411</v>
      </c>
      <c r="C100" s="204" t="str">
        <f>C93</f>
        <v>25% - 20%</v>
      </c>
      <c r="D100" s="205"/>
      <c r="E100" s="206"/>
      <c r="F100" s="204" t="str">
        <f>F93</f>
        <v>20% - 15%</v>
      </c>
      <c r="G100" s="205"/>
      <c r="H100" s="206"/>
      <c r="I100" s="204" t="str">
        <f>I93</f>
        <v>15% - 10%</v>
      </c>
      <c r="J100" s="205"/>
      <c r="K100" s="206"/>
      <c r="L100" s="204" t="str">
        <f>L93</f>
        <v>10% - 5%</v>
      </c>
      <c r="M100" s="205"/>
      <c r="N100" s="205"/>
      <c r="O100" s="205"/>
      <c r="P100" s="206"/>
      <c r="Q100" s="204" t="str">
        <f>Q93</f>
        <v>5% - 0%</v>
      </c>
      <c r="R100" s="205"/>
      <c r="S100" s="205"/>
      <c r="T100" s="205"/>
      <c r="U100" s="205"/>
      <c r="V100" s="205"/>
      <c r="W100" s="205"/>
      <c r="X100" s="205"/>
      <c r="Y100" s="206"/>
      <c r="Z100" s="204" t="str">
        <f>Z93</f>
        <v>0% -(- 5%)</v>
      </c>
      <c r="AA100" s="205"/>
      <c r="AB100" s="206"/>
      <c r="AC100" s="64" t="str">
        <f>AC93</f>
        <v>&lt;-5%</v>
      </c>
    </row>
    <row r="101" spans="1:29" x14ac:dyDescent="0.2">
      <c r="A101" s="65" t="s">
        <v>121</v>
      </c>
      <c r="B101" s="60" t="s">
        <v>117</v>
      </c>
      <c r="C101" s="58" t="s">
        <v>1</v>
      </c>
      <c r="D101" s="60" t="s">
        <v>2</v>
      </c>
      <c r="E101" s="57" t="s">
        <v>3</v>
      </c>
      <c r="F101" s="58" t="s">
        <v>4</v>
      </c>
      <c r="G101" s="60" t="s">
        <v>5</v>
      </c>
      <c r="H101" s="57" t="s">
        <v>6</v>
      </c>
      <c r="I101" s="58" t="s">
        <v>7</v>
      </c>
      <c r="J101" s="60" t="s">
        <v>8</v>
      </c>
      <c r="K101" s="60" t="s">
        <v>9</v>
      </c>
      <c r="L101" s="60" t="s">
        <v>10</v>
      </c>
      <c r="M101" s="60" t="s">
        <v>11</v>
      </c>
      <c r="N101" s="198" t="s">
        <v>12</v>
      </c>
      <c r="O101" s="198"/>
      <c r="P101" s="199"/>
      <c r="Q101" s="197" t="s">
        <v>13</v>
      </c>
      <c r="R101" s="198"/>
      <c r="S101" s="199"/>
      <c r="T101" s="197" t="s">
        <v>14</v>
      </c>
      <c r="U101" s="198"/>
      <c r="V101" s="199"/>
      <c r="W101" s="197" t="s">
        <v>15</v>
      </c>
      <c r="X101" s="198"/>
      <c r="Y101" s="199"/>
      <c r="Z101" s="60" t="s">
        <v>16</v>
      </c>
      <c r="AA101" s="60" t="s">
        <v>17</v>
      </c>
      <c r="AB101" s="60" t="s">
        <v>18</v>
      </c>
      <c r="AC101" s="60" t="s">
        <v>124</v>
      </c>
    </row>
    <row r="102" spans="1:29" x14ac:dyDescent="0.2">
      <c r="A102" s="65" t="s">
        <v>172</v>
      </c>
      <c r="B102" s="60"/>
      <c r="C102" s="90">
        <f>(20-25)/3</f>
        <v>-1.6666666666666667</v>
      </c>
      <c r="D102" s="87">
        <f>C102+C109</f>
        <v>21.666666666666664</v>
      </c>
      <c r="E102" s="88">
        <f>D102+C102</f>
        <v>19.999999999999996</v>
      </c>
      <c r="F102" s="84">
        <f>E102+C102</f>
        <v>18.333333333333329</v>
      </c>
      <c r="G102" s="89">
        <f>F102+C102</f>
        <v>16.666666666666661</v>
      </c>
      <c r="H102" s="85">
        <f>G102+C102</f>
        <v>14.999999999999995</v>
      </c>
      <c r="I102" s="84">
        <f>H102+C102</f>
        <v>13.333333333333329</v>
      </c>
      <c r="J102" s="89">
        <f>I102+C102</f>
        <v>11.666666666666663</v>
      </c>
      <c r="K102" s="89">
        <f>J102+C102</f>
        <v>9.9999999999999964</v>
      </c>
      <c r="L102" s="89">
        <f>K102+C102</f>
        <v>8.3333333333333304</v>
      </c>
      <c r="M102" s="89">
        <f>L102+C102</f>
        <v>6.6666666666666634</v>
      </c>
      <c r="N102" s="210" t="s">
        <v>436</v>
      </c>
      <c r="O102" s="228"/>
      <c r="P102" s="229"/>
      <c r="Q102" s="210" t="s">
        <v>434</v>
      </c>
      <c r="R102" s="228"/>
      <c r="S102" s="229"/>
      <c r="T102" s="197" t="s">
        <v>435</v>
      </c>
      <c r="U102" s="198"/>
      <c r="V102" s="199"/>
      <c r="W102" s="210" t="s">
        <v>433</v>
      </c>
      <c r="X102" s="228"/>
      <c r="Y102" s="229"/>
      <c r="Z102" s="89"/>
      <c r="AA102" s="89"/>
      <c r="AB102" s="89"/>
      <c r="AC102" s="60"/>
    </row>
    <row r="103" spans="1:29" x14ac:dyDescent="0.2">
      <c r="A103" s="65" t="s">
        <v>171</v>
      </c>
      <c r="B103" s="60" t="s">
        <v>416</v>
      </c>
      <c r="C103" t="s">
        <v>417</v>
      </c>
      <c r="D103" s="89" t="s">
        <v>418</v>
      </c>
      <c r="E103" s="85" t="s">
        <v>419</v>
      </c>
      <c r="F103" s="84" t="s">
        <v>421</v>
      </c>
      <c r="G103" s="84" t="s">
        <v>422</v>
      </c>
      <c r="H103" s="84" t="s">
        <v>423</v>
      </c>
      <c r="I103" s="58" t="s">
        <v>424</v>
      </c>
      <c r="J103" s="60" t="s">
        <v>425</v>
      </c>
      <c r="K103" s="60" t="s">
        <v>426</v>
      </c>
      <c r="L103" s="109" t="s">
        <v>427</v>
      </c>
      <c r="M103" s="60" t="s">
        <v>428</v>
      </c>
      <c r="N103" s="197">
        <f>(5-6.6667)/3</f>
        <v>-0.55556666666666654</v>
      </c>
      <c r="O103" s="198"/>
      <c r="P103" s="199"/>
      <c r="Q103" s="197">
        <f>(3.3333-5)/3</f>
        <v>-0.55556666666666665</v>
      </c>
      <c r="R103" s="198"/>
      <c r="S103" s="199"/>
      <c r="T103" s="197">
        <f>(1.6667-3.3333)/3</f>
        <v>-0.55553333333333332</v>
      </c>
      <c r="U103" s="198"/>
      <c r="V103" s="199"/>
      <c r="W103" s="197">
        <f>-(1.6667/3)</f>
        <v>-0.55556666666666665</v>
      </c>
      <c r="X103" s="198"/>
      <c r="Y103" s="199"/>
      <c r="Z103" s="60" t="s">
        <v>429</v>
      </c>
      <c r="AA103" s="60" t="s">
        <v>430</v>
      </c>
      <c r="AB103" s="60" t="s">
        <v>432</v>
      </c>
      <c r="AC103" s="60" t="s">
        <v>431</v>
      </c>
    </row>
    <row r="104" spans="1:29" ht="16" thickBot="1" x14ac:dyDescent="0.25">
      <c r="A104" s="66" t="s">
        <v>122</v>
      </c>
      <c r="B104" s="61">
        <v>1</v>
      </c>
      <c r="C104" s="62">
        <v>2</v>
      </c>
      <c r="D104" s="61">
        <v>3</v>
      </c>
      <c r="E104" s="64">
        <v>4</v>
      </c>
      <c r="F104" s="62">
        <v>5</v>
      </c>
      <c r="G104" s="61">
        <v>6</v>
      </c>
      <c r="H104" s="64">
        <v>7</v>
      </c>
      <c r="I104" s="62">
        <v>8</v>
      </c>
      <c r="J104" s="61">
        <v>9</v>
      </c>
      <c r="K104" s="61">
        <v>10</v>
      </c>
      <c r="L104" s="61">
        <v>11</v>
      </c>
      <c r="M104" s="61">
        <v>12</v>
      </c>
      <c r="N104" s="63">
        <v>13.1</v>
      </c>
      <c r="O104" s="63">
        <v>13.2</v>
      </c>
      <c r="P104" s="64">
        <v>13.3</v>
      </c>
      <c r="Q104" s="62">
        <v>14.1</v>
      </c>
      <c r="R104" s="63">
        <v>14.2</v>
      </c>
      <c r="S104" s="64">
        <v>14.3</v>
      </c>
      <c r="T104" s="62">
        <v>15.1</v>
      </c>
      <c r="U104" s="63">
        <v>15.2</v>
      </c>
      <c r="V104" s="64">
        <v>15.3</v>
      </c>
      <c r="W104" s="62">
        <v>16.100000000000001</v>
      </c>
      <c r="X104" s="63">
        <v>16.2</v>
      </c>
      <c r="Y104" s="64">
        <v>16.3</v>
      </c>
      <c r="Z104" s="61">
        <v>17</v>
      </c>
      <c r="AA104" s="61">
        <v>18</v>
      </c>
      <c r="AB104" s="61">
        <v>19</v>
      </c>
      <c r="AC104" s="61">
        <v>20</v>
      </c>
    </row>
    <row r="105" spans="1:29" hidden="1" x14ac:dyDescent="0.2">
      <c r="A105" s="65" t="s">
        <v>172</v>
      </c>
      <c r="N105" s="90">
        <f>M102+N103</f>
        <v>6.1110999999999969</v>
      </c>
      <c r="O105" s="90">
        <f>N105+N103</f>
        <v>5.5555333333333303</v>
      </c>
      <c r="P105" s="90">
        <f>O105+N103</f>
        <v>4.9999666666666638</v>
      </c>
      <c r="Q105" s="90">
        <f>P105+Q103</f>
        <v>4.4443999999999972</v>
      </c>
      <c r="R105" s="90">
        <f>Q105+Q103</f>
        <v>3.8888333333333307</v>
      </c>
      <c r="S105" s="90">
        <f>R105+Q103</f>
        <v>3.3332666666666642</v>
      </c>
      <c r="T105" s="90">
        <f>S105+T103</f>
        <v>2.7777333333333307</v>
      </c>
      <c r="U105" s="90">
        <f>T105+T103</f>
        <v>2.2221999999999973</v>
      </c>
      <c r="V105" s="90">
        <f>U105+T103</f>
        <v>1.6666666666666639</v>
      </c>
      <c r="W105" s="90">
        <f>V105+W103</f>
        <v>1.1110999999999973</v>
      </c>
      <c r="X105" s="90">
        <f>W105+W103</f>
        <v>0.55553333333333066</v>
      </c>
      <c r="Y105" s="90">
        <f>X105+W103</f>
        <v>-3.3333333335994197E-5</v>
      </c>
    </row>
    <row r="106" spans="1:29" x14ac:dyDescent="0.2">
      <c r="A106" s="91" t="s">
        <v>192</v>
      </c>
      <c r="B106" s="92" t="str">
        <f t="shared" ref="B106:M106" si="3">B103</f>
        <v>&gt;25.0000%</v>
      </c>
      <c r="C106" s="98" t="str">
        <f t="shared" si="3"/>
        <v>25.0000% - 23.3333%</v>
      </c>
      <c r="D106" s="92" t="str">
        <f t="shared" si="3"/>
        <v>23.3333% - 21.6667%</v>
      </c>
      <c r="E106" s="92" t="str">
        <f t="shared" si="3"/>
        <v>21.6667% - 20.0000%</v>
      </c>
      <c r="F106" s="92" t="str">
        <f t="shared" si="3"/>
        <v>20.0000% - 18.3333%</v>
      </c>
      <c r="G106" s="92" t="str">
        <f t="shared" si="3"/>
        <v>18.3333% - 16.6667%</v>
      </c>
      <c r="H106" s="92" t="str">
        <f t="shared" si="3"/>
        <v>16.6667% - 15.0000%</v>
      </c>
      <c r="I106" s="92" t="str">
        <f t="shared" si="3"/>
        <v>15.0000% - 13.3333%</v>
      </c>
      <c r="J106" s="92" t="str">
        <f t="shared" si="3"/>
        <v>13.3333% - 11.6667%</v>
      </c>
      <c r="K106" s="92" t="str">
        <f t="shared" si="3"/>
        <v>11.6667% - 10.0000%</v>
      </c>
      <c r="L106" s="92" t="str">
        <f t="shared" si="3"/>
        <v>10.0000% - 8.3333%</v>
      </c>
      <c r="M106" s="92" t="str">
        <f t="shared" si="3"/>
        <v>8.3333% - 6.6667%</v>
      </c>
      <c r="N106" s="110" t="s">
        <v>437</v>
      </c>
      <c r="O106" s="92" t="s">
        <v>438</v>
      </c>
      <c r="P106" s="98" t="s">
        <v>439</v>
      </c>
      <c r="Q106" s="92" t="s">
        <v>440</v>
      </c>
      <c r="R106" s="92" t="s">
        <v>441</v>
      </c>
      <c r="S106" s="92" t="s">
        <v>442</v>
      </c>
      <c r="T106" s="92" t="s">
        <v>443</v>
      </c>
      <c r="U106" s="92" t="s">
        <v>444</v>
      </c>
      <c r="V106" s="92" t="s">
        <v>445</v>
      </c>
      <c r="W106" s="92" t="s">
        <v>446</v>
      </c>
      <c r="X106" s="92" t="s">
        <v>447</v>
      </c>
      <c r="Y106" s="92" t="s">
        <v>448</v>
      </c>
      <c r="Z106" s="92" t="str">
        <f>Z103</f>
        <v>0.0000% - (-1.6667%)</v>
      </c>
      <c r="AA106" s="92" t="str">
        <f>AA103</f>
        <v>(-1.6667%) - (-3.3333%)</v>
      </c>
      <c r="AB106" s="92" t="str">
        <f>AB103</f>
        <v>(-3.3333%) - (-5.0000%)</v>
      </c>
      <c r="AC106" s="92" t="str">
        <f>AC103</f>
        <v>&lt;(-5.0000%)</v>
      </c>
    </row>
    <row r="109" spans="1:29" x14ac:dyDescent="0.2">
      <c r="C109" s="90">
        <f>C102+C97</f>
        <v>23.333333333333332</v>
      </c>
    </row>
    <row r="114" spans="7:23" ht="16" x14ac:dyDescent="0.2">
      <c r="G114" s="111" t="s">
        <v>473</v>
      </c>
      <c r="H114" s="111" t="s">
        <v>740</v>
      </c>
      <c r="I114" s="111" t="s">
        <v>504</v>
      </c>
      <c r="P114" s="183" t="s">
        <v>110</v>
      </c>
      <c r="Q114" s="183"/>
      <c r="R114" s="183"/>
      <c r="T114" s="111"/>
      <c r="U114" s="111" t="s">
        <v>473</v>
      </c>
      <c r="V114" s="111" t="s">
        <v>503</v>
      </c>
      <c r="W114" s="111" t="s">
        <v>504</v>
      </c>
    </row>
    <row r="115" spans="7:23" ht="80" x14ac:dyDescent="0.2">
      <c r="G115" s="46">
        <v>1</v>
      </c>
      <c r="H115" s="46" t="s">
        <v>684</v>
      </c>
      <c r="I115" s="46" t="s">
        <v>685</v>
      </c>
      <c r="L115" s="111" t="s">
        <v>473</v>
      </c>
      <c r="M115" s="111" t="s">
        <v>589</v>
      </c>
      <c r="N115" s="111" t="s">
        <v>504</v>
      </c>
      <c r="P115" s="111" t="s">
        <v>473</v>
      </c>
      <c r="Q115" s="111" t="s">
        <v>474</v>
      </c>
      <c r="R115" s="111" t="s">
        <v>504</v>
      </c>
      <c r="T115" s="46"/>
      <c r="U115" s="46">
        <v>1</v>
      </c>
      <c r="V115" s="46" t="s">
        <v>535</v>
      </c>
      <c r="W115" s="46" t="s">
        <v>536</v>
      </c>
    </row>
    <row r="116" spans="7:23" ht="48" x14ac:dyDescent="0.2">
      <c r="G116" s="46">
        <v>2</v>
      </c>
      <c r="H116" s="46" t="s">
        <v>686</v>
      </c>
      <c r="I116" s="46" t="s">
        <v>687</v>
      </c>
      <c r="L116" s="46">
        <v>1</v>
      </c>
      <c r="M116" s="46" t="s">
        <v>648</v>
      </c>
      <c r="N116" s="46" t="s">
        <v>591</v>
      </c>
      <c r="P116" s="46">
        <v>1</v>
      </c>
      <c r="Q116" s="46" t="s">
        <v>505</v>
      </c>
      <c r="R116" s="46" t="s">
        <v>475</v>
      </c>
      <c r="T116" s="46"/>
      <c r="U116" s="46">
        <v>2</v>
      </c>
      <c r="V116" s="46" t="s">
        <v>562</v>
      </c>
      <c r="W116" s="46" t="s">
        <v>537</v>
      </c>
    </row>
    <row r="117" spans="7:23" ht="48" x14ac:dyDescent="0.2">
      <c r="G117" s="46">
        <v>3</v>
      </c>
      <c r="H117" s="46" t="s">
        <v>688</v>
      </c>
      <c r="I117" s="46" t="s">
        <v>689</v>
      </c>
      <c r="L117" s="46">
        <v>2</v>
      </c>
      <c r="M117" s="46" t="s">
        <v>649</v>
      </c>
      <c r="N117" s="46" t="s">
        <v>593</v>
      </c>
      <c r="P117" s="46">
        <v>2</v>
      </c>
      <c r="Q117" s="46" t="s">
        <v>506</v>
      </c>
      <c r="R117" s="46" t="s">
        <v>476</v>
      </c>
      <c r="T117" s="46"/>
      <c r="U117" s="46">
        <v>3</v>
      </c>
      <c r="V117" s="46" t="s">
        <v>563</v>
      </c>
      <c r="W117" s="46" t="s">
        <v>538</v>
      </c>
    </row>
    <row r="118" spans="7:23" ht="64" x14ac:dyDescent="0.2">
      <c r="G118" s="46">
        <v>4</v>
      </c>
      <c r="H118" s="46" t="s">
        <v>690</v>
      </c>
      <c r="I118" s="46" t="s">
        <v>691</v>
      </c>
      <c r="L118" s="46">
        <v>3</v>
      </c>
      <c r="M118" s="46" t="s">
        <v>650</v>
      </c>
      <c r="N118" s="46" t="s">
        <v>595</v>
      </c>
      <c r="P118" s="46">
        <v>3</v>
      </c>
      <c r="Q118" s="46" t="s">
        <v>507</v>
      </c>
      <c r="R118" s="46" t="s">
        <v>477</v>
      </c>
      <c r="T118" s="46"/>
      <c r="U118" s="46">
        <v>4</v>
      </c>
      <c r="V118" s="46" t="s">
        <v>564</v>
      </c>
      <c r="W118" s="46" t="s">
        <v>539</v>
      </c>
    </row>
    <row r="119" spans="7:23" ht="48" x14ac:dyDescent="0.2">
      <c r="G119" s="46">
        <v>5</v>
      </c>
      <c r="H119" s="46" t="s">
        <v>692</v>
      </c>
      <c r="I119" s="46" t="s">
        <v>693</v>
      </c>
      <c r="L119" s="46">
        <v>4</v>
      </c>
      <c r="M119" s="46" t="s">
        <v>651</v>
      </c>
      <c r="N119" s="46" t="s">
        <v>597</v>
      </c>
      <c r="P119" s="46">
        <v>4</v>
      </c>
      <c r="Q119" s="46" t="s">
        <v>508</v>
      </c>
      <c r="R119" s="46" t="s">
        <v>478</v>
      </c>
      <c r="T119" s="46"/>
      <c r="U119" s="46">
        <v>5</v>
      </c>
      <c r="V119" s="46" t="s">
        <v>565</v>
      </c>
      <c r="W119" s="46" t="s">
        <v>540</v>
      </c>
    </row>
    <row r="120" spans="7:23" ht="64" x14ac:dyDescent="0.2">
      <c r="G120" s="46">
        <v>6</v>
      </c>
      <c r="H120" s="46" t="s">
        <v>694</v>
      </c>
      <c r="I120" s="46" t="s">
        <v>695</v>
      </c>
      <c r="L120" s="46">
        <v>5</v>
      </c>
      <c r="M120" s="46" t="s">
        <v>652</v>
      </c>
      <c r="N120" s="46" t="s">
        <v>599</v>
      </c>
      <c r="P120" s="46">
        <v>5</v>
      </c>
      <c r="Q120" s="46" t="s">
        <v>509</v>
      </c>
      <c r="R120" s="46" t="s">
        <v>479</v>
      </c>
      <c r="T120" s="46"/>
      <c r="U120" s="46">
        <v>6</v>
      </c>
      <c r="V120" s="46" t="s">
        <v>566</v>
      </c>
      <c r="W120" s="46" t="s">
        <v>541</v>
      </c>
    </row>
    <row r="121" spans="7:23" ht="48" x14ac:dyDescent="0.2">
      <c r="G121" s="46">
        <v>7</v>
      </c>
      <c r="H121" s="46" t="s">
        <v>696</v>
      </c>
      <c r="I121" s="46" t="s">
        <v>697</v>
      </c>
      <c r="L121" s="46">
        <v>6</v>
      </c>
      <c r="M121" s="46" t="s">
        <v>653</v>
      </c>
      <c r="N121" s="46" t="s">
        <v>601</v>
      </c>
      <c r="P121" s="46">
        <v>6</v>
      </c>
      <c r="Q121" s="46" t="s">
        <v>510</v>
      </c>
      <c r="R121" s="46" t="s">
        <v>480</v>
      </c>
      <c r="T121" s="46"/>
      <c r="U121" s="46">
        <v>7</v>
      </c>
      <c r="V121" s="46" t="s">
        <v>567</v>
      </c>
      <c r="W121" s="46" t="s">
        <v>542</v>
      </c>
    </row>
    <row r="122" spans="7:23" ht="48" x14ac:dyDescent="0.2">
      <c r="G122" s="46">
        <v>8</v>
      </c>
      <c r="H122" s="46" t="s">
        <v>698</v>
      </c>
      <c r="I122" s="46" t="s">
        <v>699</v>
      </c>
      <c r="L122" s="46">
        <v>7</v>
      </c>
      <c r="M122" s="46" t="s">
        <v>654</v>
      </c>
      <c r="N122" s="46" t="s">
        <v>603</v>
      </c>
      <c r="P122" s="46">
        <v>7</v>
      </c>
      <c r="Q122" s="46" t="s">
        <v>511</v>
      </c>
      <c r="R122" s="46" t="s">
        <v>481</v>
      </c>
      <c r="T122" s="46"/>
      <c r="U122" s="46">
        <v>8</v>
      </c>
      <c r="V122" s="46" t="s">
        <v>568</v>
      </c>
      <c r="W122" s="46" t="s">
        <v>543</v>
      </c>
    </row>
    <row r="123" spans="7:23" ht="32" x14ac:dyDescent="0.2">
      <c r="G123" s="46">
        <v>9</v>
      </c>
      <c r="H123" s="46" t="s">
        <v>700</v>
      </c>
      <c r="I123" s="46" t="s">
        <v>701</v>
      </c>
      <c r="L123" s="46">
        <v>8</v>
      </c>
      <c r="M123" s="46" t="s">
        <v>655</v>
      </c>
      <c r="N123" s="46" t="s">
        <v>605</v>
      </c>
      <c r="P123" s="46">
        <v>8</v>
      </c>
      <c r="Q123" s="46" t="s">
        <v>512</v>
      </c>
      <c r="R123" s="46" t="s">
        <v>482</v>
      </c>
      <c r="T123" s="46"/>
      <c r="U123" s="46">
        <v>9</v>
      </c>
      <c r="V123" s="46" t="s">
        <v>569</v>
      </c>
      <c r="W123" s="46" t="s">
        <v>544</v>
      </c>
    </row>
    <row r="124" spans="7:23" ht="48" x14ac:dyDescent="0.2">
      <c r="G124" s="46">
        <v>10</v>
      </c>
      <c r="H124" s="46" t="s">
        <v>702</v>
      </c>
      <c r="I124" s="46" t="s">
        <v>703</v>
      </c>
      <c r="L124" s="46">
        <v>9</v>
      </c>
      <c r="M124" s="46" t="s">
        <v>656</v>
      </c>
      <c r="N124" s="46" t="s">
        <v>607</v>
      </c>
      <c r="P124" s="46">
        <v>9</v>
      </c>
      <c r="Q124" s="46" t="s">
        <v>513</v>
      </c>
      <c r="R124" s="46" t="s">
        <v>483</v>
      </c>
      <c r="T124" s="46"/>
      <c r="U124" s="46">
        <v>10</v>
      </c>
      <c r="V124" s="46" t="s">
        <v>570</v>
      </c>
      <c r="W124" s="46" t="s">
        <v>545</v>
      </c>
    </row>
    <row r="125" spans="7:23" ht="48" x14ac:dyDescent="0.2">
      <c r="G125" s="46">
        <v>11</v>
      </c>
      <c r="H125" s="46" t="s">
        <v>704</v>
      </c>
      <c r="I125" s="46" t="s">
        <v>705</v>
      </c>
      <c r="L125" s="46">
        <v>10</v>
      </c>
      <c r="M125" s="46" t="s">
        <v>657</v>
      </c>
      <c r="N125" s="46" t="s">
        <v>609</v>
      </c>
      <c r="P125" s="46">
        <v>10</v>
      </c>
      <c r="Q125" s="46" t="s">
        <v>514</v>
      </c>
      <c r="R125" s="46" t="s">
        <v>484</v>
      </c>
      <c r="T125" s="46"/>
      <c r="U125" s="46">
        <v>11</v>
      </c>
      <c r="V125" s="46" t="s">
        <v>571</v>
      </c>
      <c r="W125" s="46" t="s">
        <v>546</v>
      </c>
    </row>
    <row r="126" spans="7:23" ht="32" x14ac:dyDescent="0.2">
      <c r="G126" s="46">
        <v>12</v>
      </c>
      <c r="H126" s="46" t="s">
        <v>706</v>
      </c>
      <c r="I126" s="46" t="s">
        <v>707</v>
      </c>
      <c r="L126" s="46">
        <v>11</v>
      </c>
      <c r="M126" s="46" t="s">
        <v>658</v>
      </c>
      <c r="N126" s="46" t="s">
        <v>611</v>
      </c>
      <c r="P126" s="46">
        <v>11</v>
      </c>
      <c r="Q126" s="46" t="s">
        <v>515</v>
      </c>
      <c r="R126" s="46" t="s">
        <v>485</v>
      </c>
      <c r="T126" s="46"/>
      <c r="U126" s="46">
        <v>12</v>
      </c>
      <c r="V126" s="46" t="s">
        <v>572</v>
      </c>
      <c r="W126" s="46" t="s">
        <v>547</v>
      </c>
    </row>
    <row r="127" spans="7:23" ht="32" x14ac:dyDescent="0.2">
      <c r="G127" s="46">
        <v>13</v>
      </c>
      <c r="H127" s="46" t="s">
        <v>708</v>
      </c>
      <c r="I127" s="46" t="s">
        <v>709</v>
      </c>
      <c r="L127" s="46">
        <v>12</v>
      </c>
      <c r="M127" s="46" t="s">
        <v>659</v>
      </c>
      <c r="N127" s="46" t="s">
        <v>613</v>
      </c>
      <c r="P127" s="46">
        <v>12</v>
      </c>
      <c r="Q127" s="46" t="s">
        <v>516</v>
      </c>
      <c r="R127" s="46" t="s">
        <v>486</v>
      </c>
      <c r="T127" s="46"/>
      <c r="U127" s="46">
        <v>13</v>
      </c>
      <c r="V127" s="46" t="s">
        <v>573</v>
      </c>
      <c r="W127" s="46" t="s">
        <v>548</v>
      </c>
    </row>
    <row r="128" spans="7:23" ht="32" x14ac:dyDescent="0.2">
      <c r="G128" s="46">
        <v>14</v>
      </c>
      <c r="H128" s="46" t="s">
        <v>710</v>
      </c>
      <c r="I128" s="46" t="s">
        <v>711</v>
      </c>
      <c r="L128" s="46">
        <v>13</v>
      </c>
      <c r="M128" s="46" t="s">
        <v>660</v>
      </c>
      <c r="N128" s="46" t="s">
        <v>614</v>
      </c>
      <c r="P128" s="46">
        <v>13</v>
      </c>
      <c r="Q128" s="46" t="s">
        <v>517</v>
      </c>
      <c r="R128" s="46" t="s">
        <v>487</v>
      </c>
      <c r="T128" s="46"/>
      <c r="U128" s="46">
        <v>14</v>
      </c>
      <c r="V128" s="46" t="s">
        <v>574</v>
      </c>
      <c r="W128" s="112" t="s">
        <v>549</v>
      </c>
    </row>
    <row r="129" spans="7:23" ht="48" x14ac:dyDescent="0.2">
      <c r="G129" s="46">
        <v>15</v>
      </c>
      <c r="H129" s="46" t="s">
        <v>712</v>
      </c>
      <c r="I129" s="46" t="s">
        <v>713</v>
      </c>
      <c r="L129" s="46">
        <v>14</v>
      </c>
      <c r="M129" s="46" t="s">
        <v>661</v>
      </c>
      <c r="N129" s="46" t="s">
        <v>627</v>
      </c>
      <c r="P129" s="46">
        <v>14</v>
      </c>
      <c r="Q129" s="46" t="s">
        <v>518</v>
      </c>
      <c r="R129" s="46" t="s">
        <v>488</v>
      </c>
      <c r="T129" s="46"/>
      <c r="U129" s="46">
        <v>15</v>
      </c>
      <c r="V129" s="46" t="s">
        <v>575</v>
      </c>
      <c r="W129" s="46" t="s">
        <v>550</v>
      </c>
    </row>
    <row r="130" spans="7:23" ht="32" x14ac:dyDescent="0.2">
      <c r="G130" s="46">
        <v>16</v>
      </c>
      <c r="H130" s="46" t="s">
        <v>714</v>
      </c>
      <c r="I130" s="46" t="s">
        <v>715</v>
      </c>
      <c r="L130" s="46">
        <v>15</v>
      </c>
      <c r="M130" s="46" t="s">
        <v>662</v>
      </c>
      <c r="N130" s="46" t="s">
        <v>616</v>
      </c>
      <c r="P130" s="46">
        <v>15</v>
      </c>
      <c r="Q130" s="46" t="s">
        <v>519</v>
      </c>
      <c r="R130" s="46" t="s">
        <v>489</v>
      </c>
      <c r="T130" s="46"/>
      <c r="U130" s="46">
        <v>16</v>
      </c>
      <c r="V130" s="46" t="s">
        <v>576</v>
      </c>
      <c r="W130" s="46" t="s">
        <v>551</v>
      </c>
    </row>
    <row r="131" spans="7:23" ht="48" x14ac:dyDescent="0.2">
      <c r="G131" s="46">
        <v>17</v>
      </c>
      <c r="H131" s="46" t="s">
        <v>716</v>
      </c>
      <c r="I131" s="46" t="s">
        <v>717</v>
      </c>
      <c r="L131" s="46">
        <v>16</v>
      </c>
      <c r="M131" s="46" t="s">
        <v>663</v>
      </c>
      <c r="N131" s="46" t="s">
        <v>617</v>
      </c>
      <c r="P131" s="46">
        <v>16</v>
      </c>
      <c r="Q131" s="46" t="s">
        <v>520</v>
      </c>
      <c r="R131" s="46" t="s">
        <v>490</v>
      </c>
      <c r="T131" s="46"/>
      <c r="U131" s="46">
        <v>17</v>
      </c>
      <c r="V131" s="46" t="s">
        <v>577</v>
      </c>
      <c r="W131" s="46" t="s">
        <v>552</v>
      </c>
    </row>
    <row r="132" spans="7:23" ht="32" x14ac:dyDescent="0.2">
      <c r="G132" s="46">
        <v>18</v>
      </c>
      <c r="H132" s="46" t="s">
        <v>718</v>
      </c>
      <c r="I132" s="46" t="s">
        <v>719</v>
      </c>
      <c r="L132" s="46">
        <v>17</v>
      </c>
      <c r="M132" s="46" t="s">
        <v>664</v>
      </c>
      <c r="N132" s="46" t="s">
        <v>618</v>
      </c>
      <c r="P132" s="46">
        <v>17</v>
      </c>
      <c r="Q132" s="46" t="s">
        <v>521</v>
      </c>
      <c r="R132" s="46" t="s">
        <v>491</v>
      </c>
      <c r="T132" s="46"/>
      <c r="U132" s="46">
        <v>18</v>
      </c>
      <c r="V132" s="46" t="s">
        <v>578</v>
      </c>
      <c r="W132" s="46" t="s">
        <v>553</v>
      </c>
    </row>
    <row r="133" spans="7:23" ht="48" x14ac:dyDescent="0.2">
      <c r="G133" s="46">
        <v>19</v>
      </c>
      <c r="H133" s="46" t="s">
        <v>720</v>
      </c>
      <c r="I133" s="46" t="s">
        <v>721</v>
      </c>
      <c r="L133" s="46">
        <v>18</v>
      </c>
      <c r="M133" s="46" t="s">
        <v>665</v>
      </c>
      <c r="N133" s="46" t="s">
        <v>619</v>
      </c>
      <c r="P133" s="46">
        <v>18</v>
      </c>
      <c r="Q133" s="46" t="s">
        <v>522</v>
      </c>
      <c r="R133" s="46" t="s">
        <v>492</v>
      </c>
      <c r="T133" s="46"/>
      <c r="U133" s="46">
        <v>19</v>
      </c>
      <c r="V133" s="46" t="s">
        <v>579</v>
      </c>
      <c r="W133" s="46" t="s">
        <v>554</v>
      </c>
    </row>
    <row r="134" spans="7:23" ht="32" x14ac:dyDescent="0.2">
      <c r="G134" s="46">
        <v>20</v>
      </c>
      <c r="H134" s="46" t="s">
        <v>722</v>
      </c>
      <c r="I134" s="46" t="s">
        <v>723</v>
      </c>
      <c r="L134" s="46">
        <v>19</v>
      </c>
      <c r="M134" s="46" t="s">
        <v>666</v>
      </c>
      <c r="N134" s="46" t="s">
        <v>667</v>
      </c>
      <c r="P134" s="46">
        <v>19</v>
      </c>
      <c r="Q134" s="46" t="s">
        <v>523</v>
      </c>
      <c r="R134" s="46" t="s">
        <v>493</v>
      </c>
      <c r="T134" s="46"/>
      <c r="U134" s="46">
        <v>20</v>
      </c>
      <c r="V134" s="46" t="s">
        <v>580</v>
      </c>
      <c r="W134" s="46" t="s">
        <v>555</v>
      </c>
    </row>
    <row r="135" spans="7:23" ht="48" x14ac:dyDescent="0.2">
      <c r="G135" s="46">
        <v>21</v>
      </c>
      <c r="H135" s="46" t="s">
        <v>724</v>
      </c>
      <c r="I135" s="46" t="s">
        <v>725</v>
      </c>
      <c r="L135" s="46">
        <v>20</v>
      </c>
      <c r="M135" s="46" t="s">
        <v>668</v>
      </c>
      <c r="N135" s="46" t="s">
        <v>669</v>
      </c>
      <c r="P135" s="46">
        <v>20</v>
      </c>
      <c r="Q135" s="46" t="s">
        <v>524</v>
      </c>
      <c r="R135" s="46" t="s">
        <v>494</v>
      </c>
      <c r="T135" s="46"/>
      <c r="U135" s="46">
        <v>21</v>
      </c>
      <c r="V135" s="46" t="s">
        <v>581</v>
      </c>
      <c r="W135" s="46" t="s">
        <v>556</v>
      </c>
    </row>
    <row r="136" spans="7:23" ht="48" x14ac:dyDescent="0.2">
      <c r="G136" s="46">
        <v>22</v>
      </c>
      <c r="H136" s="46" t="s">
        <v>726</v>
      </c>
      <c r="I136" s="46" t="s">
        <v>727</v>
      </c>
      <c r="L136" s="46">
        <v>21</v>
      </c>
      <c r="M136" s="46" t="s">
        <v>670</v>
      </c>
      <c r="N136" s="46" t="s">
        <v>671</v>
      </c>
      <c r="P136" s="46">
        <v>21</v>
      </c>
      <c r="Q136" s="46" t="s">
        <v>525</v>
      </c>
      <c r="R136" s="46" t="s">
        <v>495</v>
      </c>
      <c r="T136" s="46"/>
      <c r="U136" s="46">
        <v>22</v>
      </c>
      <c r="V136" s="46" t="s">
        <v>582</v>
      </c>
      <c r="W136" s="46" t="s">
        <v>557</v>
      </c>
    </row>
    <row r="137" spans="7:23" ht="48" x14ac:dyDescent="0.2">
      <c r="G137" s="46">
        <v>23</v>
      </c>
      <c r="H137" s="46" t="s">
        <v>728</v>
      </c>
      <c r="I137" s="46" t="s">
        <v>729</v>
      </c>
      <c r="L137" s="46">
        <v>22</v>
      </c>
      <c r="M137" s="46" t="s">
        <v>672</v>
      </c>
      <c r="N137" s="46" t="s">
        <v>673</v>
      </c>
      <c r="P137" s="46">
        <v>22</v>
      </c>
      <c r="Q137" s="46" t="s">
        <v>526</v>
      </c>
      <c r="R137" s="46" t="s">
        <v>496</v>
      </c>
      <c r="T137" s="46"/>
      <c r="U137" s="46">
        <v>23</v>
      </c>
      <c r="V137" s="46" t="s">
        <v>583</v>
      </c>
      <c r="W137" s="46" t="s">
        <v>558</v>
      </c>
    </row>
    <row r="138" spans="7:23" ht="48" x14ac:dyDescent="0.2">
      <c r="G138" s="46">
        <v>24</v>
      </c>
      <c r="H138" s="46" t="s">
        <v>730</v>
      </c>
      <c r="I138" s="46" t="s">
        <v>731</v>
      </c>
      <c r="L138" s="46">
        <v>23</v>
      </c>
      <c r="M138" s="46" t="s">
        <v>674</v>
      </c>
      <c r="N138" s="46" t="s">
        <v>675</v>
      </c>
      <c r="P138" s="46">
        <v>23</v>
      </c>
      <c r="Q138" s="46" t="s">
        <v>527</v>
      </c>
      <c r="R138" s="46" t="s">
        <v>497</v>
      </c>
      <c r="T138" s="46"/>
      <c r="U138" s="46">
        <v>24</v>
      </c>
      <c r="V138" s="46" t="s">
        <v>584</v>
      </c>
      <c r="W138" s="46" t="s">
        <v>534</v>
      </c>
    </row>
    <row r="139" spans="7:23" ht="64" x14ac:dyDescent="0.2">
      <c r="G139" s="46">
        <v>25</v>
      </c>
      <c r="H139" s="46" t="s">
        <v>732</v>
      </c>
      <c r="I139" s="46" t="s">
        <v>733</v>
      </c>
      <c r="L139" s="46">
        <v>24</v>
      </c>
      <c r="M139" s="46" t="s">
        <v>676</v>
      </c>
      <c r="N139" s="46" t="s">
        <v>677</v>
      </c>
      <c r="P139" s="46">
        <v>24</v>
      </c>
      <c r="Q139" s="46" t="s">
        <v>528</v>
      </c>
      <c r="R139" s="112" t="s">
        <v>498</v>
      </c>
      <c r="T139" s="46"/>
      <c r="U139" s="46">
        <v>25</v>
      </c>
      <c r="V139" s="46" t="s">
        <v>585</v>
      </c>
      <c r="W139" s="46" t="s">
        <v>559</v>
      </c>
    </row>
    <row r="140" spans="7:23" ht="48" x14ac:dyDescent="0.2">
      <c r="G140" s="46">
        <v>26</v>
      </c>
      <c r="H140" s="46" t="s">
        <v>734</v>
      </c>
      <c r="I140" s="46" t="s">
        <v>735</v>
      </c>
      <c r="L140" s="46">
        <v>25</v>
      </c>
      <c r="M140" s="46" t="s">
        <v>678</v>
      </c>
      <c r="N140" s="46" t="s">
        <v>620</v>
      </c>
      <c r="P140" s="46">
        <v>25</v>
      </c>
      <c r="Q140" s="46" t="s">
        <v>529</v>
      </c>
      <c r="R140" s="46" t="s">
        <v>499</v>
      </c>
      <c r="T140" s="46"/>
      <c r="U140" s="46">
        <v>26</v>
      </c>
      <c r="V140" s="46" t="s">
        <v>586</v>
      </c>
      <c r="W140" s="46" t="s">
        <v>560</v>
      </c>
    </row>
    <row r="141" spans="7:23" ht="48" x14ac:dyDescent="0.2">
      <c r="G141" s="46">
        <v>27</v>
      </c>
      <c r="H141" s="46" t="s">
        <v>736</v>
      </c>
      <c r="I141" s="46" t="s">
        <v>737</v>
      </c>
      <c r="L141" s="46">
        <v>26</v>
      </c>
      <c r="M141" s="46" t="s">
        <v>679</v>
      </c>
      <c r="N141" s="46" t="s">
        <v>621</v>
      </c>
      <c r="P141" s="46">
        <v>26</v>
      </c>
      <c r="Q141" s="46" t="s">
        <v>530</v>
      </c>
      <c r="R141" s="46" t="s">
        <v>500</v>
      </c>
      <c r="T141" s="46"/>
      <c r="U141" s="46">
        <v>27</v>
      </c>
      <c r="V141" s="46" t="s">
        <v>587</v>
      </c>
      <c r="W141" s="46" t="s">
        <v>532</v>
      </c>
    </row>
    <row r="142" spans="7:23" ht="48" x14ac:dyDescent="0.2">
      <c r="G142" s="46">
        <v>28</v>
      </c>
      <c r="H142" s="46" t="s">
        <v>738</v>
      </c>
      <c r="I142" s="46" t="s">
        <v>739</v>
      </c>
      <c r="L142" s="46">
        <v>27</v>
      </c>
      <c r="M142" s="46" t="s">
        <v>680</v>
      </c>
      <c r="N142" s="46" t="s">
        <v>622</v>
      </c>
      <c r="P142" s="46">
        <v>27</v>
      </c>
      <c r="Q142" s="46" t="s">
        <v>531</v>
      </c>
      <c r="R142" s="46" t="s">
        <v>501</v>
      </c>
      <c r="T142" s="46"/>
      <c r="U142" s="46">
        <v>28</v>
      </c>
      <c r="V142" s="46" t="s">
        <v>588</v>
      </c>
      <c r="W142" s="46" t="s">
        <v>561</v>
      </c>
    </row>
    <row r="143" spans="7:23" ht="48" x14ac:dyDescent="0.2">
      <c r="L143" s="46">
        <v>28</v>
      </c>
      <c r="M143" s="46" t="s">
        <v>681</v>
      </c>
      <c r="N143" s="46" t="s">
        <v>624</v>
      </c>
      <c r="P143" s="46">
        <v>28</v>
      </c>
      <c r="Q143" s="46" t="s">
        <v>533</v>
      </c>
      <c r="R143" s="46" t="s">
        <v>502</v>
      </c>
    </row>
    <row r="148" spans="16:18" x14ac:dyDescent="0.2">
      <c r="P148" s="183" t="s">
        <v>112</v>
      </c>
      <c r="Q148" s="183"/>
      <c r="R148" s="183"/>
    </row>
    <row r="149" spans="16:18" ht="16" x14ac:dyDescent="0.2">
      <c r="P149" s="111" t="s">
        <v>473</v>
      </c>
      <c r="Q149" s="111" t="s">
        <v>589</v>
      </c>
      <c r="R149" s="111" t="s">
        <v>504</v>
      </c>
    </row>
    <row r="150" spans="16:18" ht="32" x14ac:dyDescent="0.2">
      <c r="P150" s="46">
        <v>1</v>
      </c>
      <c r="Q150" s="46" t="s">
        <v>590</v>
      </c>
      <c r="R150" s="46" t="s">
        <v>591</v>
      </c>
    </row>
    <row r="151" spans="16:18" ht="32" x14ac:dyDescent="0.2">
      <c r="P151" s="46">
        <v>2</v>
      </c>
      <c r="Q151" s="46" t="s">
        <v>592</v>
      </c>
      <c r="R151" s="46" t="s">
        <v>593</v>
      </c>
    </row>
    <row r="152" spans="16:18" ht="16" x14ac:dyDescent="0.2">
      <c r="P152" s="46">
        <v>3</v>
      </c>
      <c r="Q152" s="46" t="s">
        <v>594</v>
      </c>
      <c r="R152" s="46" t="s">
        <v>595</v>
      </c>
    </row>
    <row r="153" spans="16:18" ht="32" x14ac:dyDescent="0.2">
      <c r="P153" s="46">
        <v>4</v>
      </c>
      <c r="Q153" s="46" t="s">
        <v>596</v>
      </c>
      <c r="R153" s="46" t="s">
        <v>597</v>
      </c>
    </row>
    <row r="154" spans="16:18" ht="16" x14ac:dyDescent="0.2">
      <c r="P154" s="46">
        <v>5</v>
      </c>
      <c r="Q154" s="46" t="s">
        <v>598</v>
      </c>
      <c r="R154" s="46" t="s">
        <v>599</v>
      </c>
    </row>
    <row r="155" spans="16:18" ht="32" x14ac:dyDescent="0.2">
      <c r="P155" s="46">
        <v>6</v>
      </c>
      <c r="Q155" s="46" t="s">
        <v>600</v>
      </c>
      <c r="R155" s="46" t="s">
        <v>601</v>
      </c>
    </row>
    <row r="156" spans="16:18" ht="16" x14ac:dyDescent="0.2">
      <c r="P156" s="46">
        <v>7</v>
      </c>
      <c r="Q156" s="46" t="s">
        <v>602</v>
      </c>
      <c r="R156" s="46" t="s">
        <v>603</v>
      </c>
    </row>
    <row r="157" spans="16:18" ht="32" x14ac:dyDescent="0.2">
      <c r="P157" s="46">
        <v>8</v>
      </c>
      <c r="Q157" s="46" t="s">
        <v>604</v>
      </c>
      <c r="R157" s="46" t="s">
        <v>605</v>
      </c>
    </row>
    <row r="158" spans="16:18" ht="32" x14ac:dyDescent="0.2">
      <c r="P158" s="46">
        <v>9</v>
      </c>
      <c r="Q158" s="46" t="s">
        <v>606</v>
      </c>
      <c r="R158" s="46" t="s">
        <v>607</v>
      </c>
    </row>
    <row r="159" spans="16:18" ht="16" x14ac:dyDescent="0.2">
      <c r="P159" s="46">
        <v>10</v>
      </c>
      <c r="Q159" s="46" t="s">
        <v>608</v>
      </c>
      <c r="R159" s="46" t="s">
        <v>609</v>
      </c>
    </row>
    <row r="160" spans="16:18" ht="32" x14ac:dyDescent="0.2">
      <c r="P160" s="46">
        <v>11</v>
      </c>
      <c r="Q160" s="46" t="s">
        <v>610</v>
      </c>
      <c r="R160" s="46" t="s">
        <v>611</v>
      </c>
    </row>
    <row r="161" spans="16:18" ht="16" x14ac:dyDescent="0.2">
      <c r="P161" s="46">
        <v>12</v>
      </c>
      <c r="Q161" s="46" t="s">
        <v>612</v>
      </c>
      <c r="R161" s="46" t="s">
        <v>613</v>
      </c>
    </row>
    <row r="162" spans="16:18" ht="16" x14ac:dyDescent="0.2">
      <c r="P162" s="46">
        <v>13</v>
      </c>
      <c r="Q162" s="46" t="s">
        <v>625</v>
      </c>
      <c r="R162" s="46" t="s">
        <v>614</v>
      </c>
    </row>
    <row r="163" spans="16:18" ht="16" x14ac:dyDescent="0.2">
      <c r="P163" s="46">
        <v>14</v>
      </c>
      <c r="Q163" s="46" t="s">
        <v>626</v>
      </c>
      <c r="R163" s="46" t="s">
        <v>627</v>
      </c>
    </row>
    <row r="164" spans="16:18" ht="32" x14ac:dyDescent="0.2">
      <c r="P164" s="46">
        <v>15</v>
      </c>
      <c r="Q164" s="46" t="s">
        <v>628</v>
      </c>
      <c r="R164" s="46" t="s">
        <v>616</v>
      </c>
    </row>
    <row r="165" spans="16:18" ht="16" x14ac:dyDescent="0.2">
      <c r="P165" s="46">
        <v>16</v>
      </c>
      <c r="Q165" s="46" t="s">
        <v>629</v>
      </c>
      <c r="R165" s="46" t="s">
        <v>617</v>
      </c>
    </row>
    <row r="166" spans="16:18" ht="16" x14ac:dyDescent="0.2">
      <c r="P166" s="46">
        <v>17</v>
      </c>
      <c r="Q166" s="46" t="s">
        <v>630</v>
      </c>
      <c r="R166" s="46" t="s">
        <v>618</v>
      </c>
    </row>
    <row r="167" spans="16:18" ht="16" x14ac:dyDescent="0.2">
      <c r="P167" s="46">
        <v>18</v>
      </c>
      <c r="Q167" s="46" t="s">
        <v>631</v>
      </c>
      <c r="R167" s="46" t="s">
        <v>614</v>
      </c>
    </row>
    <row r="168" spans="16:18" ht="16" x14ac:dyDescent="0.2">
      <c r="P168" s="46">
        <v>19</v>
      </c>
      <c r="Q168" s="46" t="s">
        <v>632</v>
      </c>
      <c r="R168" s="46" t="s">
        <v>633</v>
      </c>
    </row>
    <row r="169" spans="16:18" ht="32" x14ac:dyDescent="0.2">
      <c r="P169" s="46">
        <v>20</v>
      </c>
      <c r="Q169" s="46" t="s">
        <v>634</v>
      </c>
      <c r="R169" s="112" t="s">
        <v>615</v>
      </c>
    </row>
    <row r="170" spans="16:18" ht="32" x14ac:dyDescent="0.2">
      <c r="P170" s="46">
        <v>21</v>
      </c>
      <c r="Q170" s="46" t="s">
        <v>635</v>
      </c>
      <c r="R170" s="46" t="s">
        <v>616</v>
      </c>
    </row>
    <row r="171" spans="16:18" ht="16" x14ac:dyDescent="0.2">
      <c r="P171" s="46">
        <v>22</v>
      </c>
      <c r="Q171" s="46" t="s">
        <v>636</v>
      </c>
      <c r="R171" s="46" t="s">
        <v>617</v>
      </c>
    </row>
    <row r="172" spans="16:18" ht="16" x14ac:dyDescent="0.2">
      <c r="P172" s="46">
        <v>23</v>
      </c>
      <c r="Q172" s="46" t="s">
        <v>637</v>
      </c>
      <c r="R172" s="46" t="s">
        <v>618</v>
      </c>
    </row>
    <row r="173" spans="16:18" ht="16" x14ac:dyDescent="0.2">
      <c r="P173" s="46">
        <v>24</v>
      </c>
      <c r="Q173" s="46" t="s">
        <v>638</v>
      </c>
      <c r="R173" s="46" t="s">
        <v>619</v>
      </c>
    </row>
    <row r="174" spans="16:18" ht="32" x14ac:dyDescent="0.2">
      <c r="P174" s="46">
        <v>25</v>
      </c>
      <c r="Q174" s="46" t="s">
        <v>639</v>
      </c>
      <c r="R174" s="46" t="s">
        <v>620</v>
      </c>
    </row>
    <row r="175" spans="16:18" ht="32" x14ac:dyDescent="0.2">
      <c r="P175" s="46">
        <v>26</v>
      </c>
      <c r="Q175" s="46" t="s">
        <v>640</v>
      </c>
      <c r="R175" s="46" t="s">
        <v>621</v>
      </c>
    </row>
    <row r="176" spans="16:18" ht="32" x14ac:dyDescent="0.2">
      <c r="P176" s="46">
        <v>27</v>
      </c>
      <c r="Q176" s="46" t="s">
        <v>623</v>
      </c>
      <c r="R176" s="46" t="s">
        <v>622</v>
      </c>
    </row>
    <row r="177" spans="16:18" ht="32" x14ac:dyDescent="0.2">
      <c r="P177" s="46">
        <v>28</v>
      </c>
      <c r="Q177" s="46" t="s">
        <v>641</v>
      </c>
      <c r="R177" s="46" t="s">
        <v>624</v>
      </c>
    </row>
  </sheetData>
  <mergeCells count="253">
    <mergeCell ref="P114:R114"/>
    <mergeCell ref="P148:R148"/>
    <mergeCell ref="N103:P103"/>
    <mergeCell ref="Q103:S103"/>
    <mergeCell ref="T103:V103"/>
    <mergeCell ref="W103:Y103"/>
    <mergeCell ref="N101:P101"/>
    <mergeCell ref="Q101:S101"/>
    <mergeCell ref="T101:V101"/>
    <mergeCell ref="W101:Y101"/>
    <mergeCell ref="N102:P102"/>
    <mergeCell ref="Q102:S102"/>
    <mergeCell ref="T102:V102"/>
    <mergeCell ref="W102:Y102"/>
    <mergeCell ref="C100:E100"/>
    <mergeCell ref="F100:H100"/>
    <mergeCell ref="I100:K100"/>
    <mergeCell ref="L100:P100"/>
    <mergeCell ref="Q100:Y100"/>
    <mergeCell ref="Z100:AB100"/>
    <mergeCell ref="A98:AC98"/>
    <mergeCell ref="C99:E99"/>
    <mergeCell ref="F99:H99"/>
    <mergeCell ref="I99:K99"/>
    <mergeCell ref="L99:P99"/>
    <mergeCell ref="Q99:Y99"/>
    <mergeCell ref="Z99:AB99"/>
    <mergeCell ref="C95:E95"/>
    <mergeCell ref="F95:H95"/>
    <mergeCell ref="I95:K95"/>
    <mergeCell ref="L95:P95"/>
    <mergeCell ref="Q95:Y95"/>
    <mergeCell ref="Z95:AB95"/>
    <mergeCell ref="C94:E94"/>
    <mergeCell ref="F94:H94"/>
    <mergeCell ref="I94:K94"/>
    <mergeCell ref="L94:P94"/>
    <mergeCell ref="Q94:Y94"/>
    <mergeCell ref="Z94:AB94"/>
    <mergeCell ref="C93:E93"/>
    <mergeCell ref="F93:H93"/>
    <mergeCell ref="I93:K93"/>
    <mergeCell ref="L93:P93"/>
    <mergeCell ref="Q93:Y93"/>
    <mergeCell ref="Z93:AB93"/>
    <mergeCell ref="C92:E92"/>
    <mergeCell ref="F92:H92"/>
    <mergeCell ref="I92:K92"/>
    <mergeCell ref="L92:P92"/>
    <mergeCell ref="Q92:Y92"/>
    <mergeCell ref="Z92:AB92"/>
    <mergeCell ref="Z90:AB90"/>
    <mergeCell ref="C91:E91"/>
    <mergeCell ref="F91:H91"/>
    <mergeCell ref="I91:K91"/>
    <mergeCell ref="L91:P91"/>
    <mergeCell ref="Q91:Y91"/>
    <mergeCell ref="Z91:AB91"/>
    <mergeCell ref="N82:P82"/>
    <mergeCell ref="Q82:S82"/>
    <mergeCell ref="T82:V82"/>
    <mergeCell ref="W82:Y82"/>
    <mergeCell ref="A89:AC89"/>
    <mergeCell ref="C90:E90"/>
    <mergeCell ref="F90:H90"/>
    <mergeCell ref="I90:K90"/>
    <mergeCell ref="L90:P90"/>
    <mergeCell ref="Q90:Y90"/>
    <mergeCell ref="N80:P80"/>
    <mergeCell ref="Q80:S80"/>
    <mergeCell ref="T80:V80"/>
    <mergeCell ref="W80:Y80"/>
    <mergeCell ref="N81:P81"/>
    <mergeCell ref="Q81:S81"/>
    <mergeCell ref="C79:E79"/>
    <mergeCell ref="F79:H79"/>
    <mergeCell ref="I79:K79"/>
    <mergeCell ref="L79:P79"/>
    <mergeCell ref="Q79:Y79"/>
    <mergeCell ref="Z79:AB79"/>
    <mergeCell ref="A77:AC77"/>
    <mergeCell ref="C78:E78"/>
    <mergeCell ref="F78:H78"/>
    <mergeCell ref="I78:K78"/>
    <mergeCell ref="L78:P78"/>
    <mergeCell ref="Q78:Y78"/>
    <mergeCell ref="Z78:AB78"/>
    <mergeCell ref="C74:E74"/>
    <mergeCell ref="F74:H74"/>
    <mergeCell ref="I74:K74"/>
    <mergeCell ref="L74:P74"/>
    <mergeCell ref="Q74:Y74"/>
    <mergeCell ref="Z74:AB74"/>
    <mergeCell ref="C73:E73"/>
    <mergeCell ref="F73:H73"/>
    <mergeCell ref="I73:K73"/>
    <mergeCell ref="L73:P73"/>
    <mergeCell ref="Q73:Y73"/>
    <mergeCell ref="Z73:AB73"/>
    <mergeCell ref="C72:E72"/>
    <mergeCell ref="F72:H72"/>
    <mergeCell ref="I72:K72"/>
    <mergeCell ref="L72:P72"/>
    <mergeCell ref="Q72:Y72"/>
    <mergeCell ref="Z72:AB72"/>
    <mergeCell ref="C71:E71"/>
    <mergeCell ref="F71:H71"/>
    <mergeCell ref="I71:K71"/>
    <mergeCell ref="L71:P71"/>
    <mergeCell ref="Q71:Y71"/>
    <mergeCell ref="Z71:AB71"/>
    <mergeCell ref="C70:E70"/>
    <mergeCell ref="F70:H70"/>
    <mergeCell ref="I70:K70"/>
    <mergeCell ref="L70:P70"/>
    <mergeCell ref="Q70:Y70"/>
    <mergeCell ref="Z70:AB70"/>
    <mergeCell ref="A68:AC68"/>
    <mergeCell ref="C69:E69"/>
    <mergeCell ref="F69:H69"/>
    <mergeCell ref="I69:K69"/>
    <mergeCell ref="L69:P69"/>
    <mergeCell ref="Q69:Y69"/>
    <mergeCell ref="Z69:AB69"/>
    <mergeCell ref="N56:P56"/>
    <mergeCell ref="Q56:S56"/>
    <mergeCell ref="T56:V56"/>
    <mergeCell ref="W56:Y56"/>
    <mergeCell ref="N57:P57"/>
    <mergeCell ref="N58:P58"/>
    <mergeCell ref="Q58:S58"/>
    <mergeCell ref="T58:V58"/>
    <mergeCell ref="W58:Y58"/>
    <mergeCell ref="Q57:S57"/>
    <mergeCell ref="C55:E55"/>
    <mergeCell ref="F55:H55"/>
    <mergeCell ref="I55:K55"/>
    <mergeCell ref="L55:P55"/>
    <mergeCell ref="Q55:Y55"/>
    <mergeCell ref="Z55:AB55"/>
    <mergeCell ref="A53:AC53"/>
    <mergeCell ref="C54:E54"/>
    <mergeCell ref="F54:H54"/>
    <mergeCell ref="I54:K54"/>
    <mergeCell ref="L54:P54"/>
    <mergeCell ref="Q54:Y54"/>
    <mergeCell ref="Z54:AB54"/>
    <mergeCell ref="C50:E50"/>
    <mergeCell ref="F50:H50"/>
    <mergeCell ref="I50:K50"/>
    <mergeCell ref="L50:P50"/>
    <mergeCell ref="Q50:Y50"/>
    <mergeCell ref="Z50:AB50"/>
    <mergeCell ref="C49:E49"/>
    <mergeCell ref="F49:H49"/>
    <mergeCell ref="I49:K49"/>
    <mergeCell ref="L49:P49"/>
    <mergeCell ref="Q49:Y49"/>
    <mergeCell ref="Z49:AB49"/>
    <mergeCell ref="C48:E48"/>
    <mergeCell ref="F48:H48"/>
    <mergeCell ref="I48:K48"/>
    <mergeCell ref="L48:P48"/>
    <mergeCell ref="Q48:Y48"/>
    <mergeCell ref="Z48:AB48"/>
    <mergeCell ref="C47:E47"/>
    <mergeCell ref="F47:H47"/>
    <mergeCell ref="I47:K47"/>
    <mergeCell ref="L47:P47"/>
    <mergeCell ref="Q47:Y47"/>
    <mergeCell ref="Z47:AB47"/>
    <mergeCell ref="C46:E46"/>
    <mergeCell ref="F46:H46"/>
    <mergeCell ref="I46:K46"/>
    <mergeCell ref="L46:P46"/>
    <mergeCell ref="Q46:Y46"/>
    <mergeCell ref="Z46:AB46"/>
    <mergeCell ref="A44:AC44"/>
    <mergeCell ref="C45:E45"/>
    <mergeCell ref="F45:H45"/>
    <mergeCell ref="I45:K45"/>
    <mergeCell ref="L45:P45"/>
    <mergeCell ref="Q45:Y45"/>
    <mergeCell ref="Z45:AB45"/>
    <mergeCell ref="N33:P33"/>
    <mergeCell ref="N32:P32"/>
    <mergeCell ref="Q33:S33"/>
    <mergeCell ref="T33:V33"/>
    <mergeCell ref="W33:Y33"/>
    <mergeCell ref="Z29:AB29"/>
    <mergeCell ref="N31:P31"/>
    <mergeCell ref="Q31:S31"/>
    <mergeCell ref="T31:V31"/>
    <mergeCell ref="W31:Y31"/>
    <mergeCell ref="A28:AC28"/>
    <mergeCell ref="C30:E30"/>
    <mergeCell ref="F30:H30"/>
    <mergeCell ref="I30:K30"/>
    <mergeCell ref="L30:P30"/>
    <mergeCell ref="C29:E29"/>
    <mergeCell ref="F29:H29"/>
    <mergeCell ref="I29:K29"/>
    <mergeCell ref="L29:P29"/>
    <mergeCell ref="Q29:Y29"/>
    <mergeCell ref="Q30:Y30"/>
    <mergeCell ref="Z30:AB30"/>
    <mergeCell ref="Z25:AB25"/>
    <mergeCell ref="Q25:Y25"/>
    <mergeCell ref="L25:P25"/>
    <mergeCell ref="I25:K25"/>
    <mergeCell ref="F25:H25"/>
    <mergeCell ref="C25:E25"/>
    <mergeCell ref="C24:E24"/>
    <mergeCell ref="F24:H24"/>
    <mergeCell ref="I24:K24"/>
    <mergeCell ref="L24:P24"/>
    <mergeCell ref="Q24:Y24"/>
    <mergeCell ref="Z24:AB24"/>
    <mergeCell ref="C23:E23"/>
    <mergeCell ref="F23:H23"/>
    <mergeCell ref="I23:K23"/>
    <mergeCell ref="L23:P23"/>
    <mergeCell ref="Q23:Y23"/>
    <mergeCell ref="Z23:AB23"/>
    <mergeCell ref="C22:E22"/>
    <mergeCell ref="F22:H22"/>
    <mergeCell ref="I22:K22"/>
    <mergeCell ref="L22:P22"/>
    <mergeCell ref="Q22:Y22"/>
    <mergeCell ref="Z22:AB22"/>
    <mergeCell ref="Z20:AB20"/>
    <mergeCell ref="C21:E21"/>
    <mergeCell ref="F21:H21"/>
    <mergeCell ref="I21:K21"/>
    <mergeCell ref="L21:P21"/>
    <mergeCell ref="Q21:Y21"/>
    <mergeCell ref="Z21:AB21"/>
    <mergeCell ref="W4:Y4"/>
    <mergeCell ref="Z3:AB3"/>
    <mergeCell ref="Q3:Y3"/>
    <mergeCell ref="A19:AC19"/>
    <mergeCell ref="C20:E20"/>
    <mergeCell ref="F20:H20"/>
    <mergeCell ref="I20:K20"/>
    <mergeCell ref="L20:P20"/>
    <mergeCell ref="Q20:Y20"/>
    <mergeCell ref="C3:E3"/>
    <mergeCell ref="F3:H3"/>
    <mergeCell ref="I3:K3"/>
    <mergeCell ref="N4:P4"/>
    <mergeCell ref="L3:P3"/>
    <mergeCell ref="Q4:S4"/>
    <mergeCell ref="T4:V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Judgmental Scorecard</vt:lpstr>
      <vt:lpstr>Scorecard to ElCap</vt:lpstr>
      <vt:lpstr>Calc Definitions</vt:lpstr>
      <vt:lpstr>Credit Scoring Scorecard</vt:lpstr>
      <vt:lpstr>PDs</vt:lpstr>
      <vt:lpstr>Scratch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Jeffry Elliott</dc:creator>
  <cp:lastModifiedBy>Austin Lehrmann</cp:lastModifiedBy>
  <dcterms:created xsi:type="dcterms:W3CDTF">2025-06-19T15:11:46Z</dcterms:created>
  <dcterms:modified xsi:type="dcterms:W3CDTF">2026-08-25T15:14:10Z</dcterms:modified>
</cp:coreProperties>
</file>